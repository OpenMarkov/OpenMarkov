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72" windowWidth="19032" windowHeight="8700"/>
  </bookViews>
  <sheets>
    <sheet name="Parameters" sheetId="1" r:id="rId1"/>
    <sheet name="Markov model" sheetId="2" r:id="rId2"/>
    <sheet name="Analysis" sheetId="3" r:id="rId3"/>
  </sheets>
  <definedNames>
    <definedName name="cAZT">Parameters!$B$30</definedName>
    <definedName name="ccca">Parameters!$B$24</definedName>
    <definedName name="cccb">Parameters!$B$25</definedName>
    <definedName name="cccc">Parameters!$B$26</definedName>
    <definedName name="cDR">Parameters!$B$36</definedName>
    <definedName name="cLam">Parameters!$B$31</definedName>
    <definedName name="dmca">Parameters!$B$21</definedName>
    <definedName name="dmcb">Parameters!$B$22</definedName>
    <definedName name="dmcc">Parameters!$B$23</definedName>
    <definedName name="durE">Parameters!#REF!</definedName>
    <definedName name="lambda">Analysis!#REF!</definedName>
    <definedName name="oDR">Parameters!$B$37</definedName>
    <definedName name="RR">Parameters!$B$35</definedName>
    <definedName name="tpA2A">Parameters!$B$9</definedName>
    <definedName name="tpA2B">Parameters!$B$10</definedName>
    <definedName name="tpA2C">Parameters!$B$11</definedName>
    <definedName name="tpA2D">Parameters!$B$12</definedName>
    <definedName name="tpAtoD">Parameters!$B$12</definedName>
    <definedName name="tpB2B">Parameters!$B$13</definedName>
    <definedName name="tpB2C">Parameters!$B$14</definedName>
    <definedName name="tpB2D">Parameters!$B$15</definedName>
    <definedName name="tpC2C">Parameters!$B$16</definedName>
    <definedName name="tpC2D">Parameters!$B$17</definedName>
  </definedNames>
  <calcPr calcId="145621"/>
</workbook>
</file>

<file path=xl/calcChain.xml><?xml version="1.0" encoding="utf-8"?>
<calcChain xmlns="http://schemas.openxmlformats.org/spreadsheetml/2006/main">
  <c r="C17" i="1" l="1"/>
  <c r="C16" i="1" s="1"/>
  <c r="B16" i="1" s="1"/>
  <c r="G35" i="1"/>
  <c r="E22" i="1"/>
  <c r="F22" i="1"/>
  <c r="C22" i="1"/>
  <c r="B22" i="1" s="1"/>
  <c r="E23" i="1"/>
  <c r="G23" i="1"/>
  <c r="E24" i="1"/>
  <c r="E25" i="1"/>
  <c r="E26" i="1"/>
  <c r="F26" i="1"/>
  <c r="E21" i="1"/>
  <c r="G21" i="1"/>
  <c r="G22" i="1"/>
  <c r="F23" i="1"/>
  <c r="C23" i="1"/>
  <c r="B23" i="1" s="1"/>
  <c r="F24" i="1"/>
  <c r="C24" i="1"/>
  <c r="B24" i="1" s="1"/>
  <c r="G24" i="1"/>
  <c r="F25" i="1"/>
  <c r="G25" i="1"/>
  <c r="C25" i="1"/>
  <c r="B25" i="1" s="1"/>
  <c r="F21" i="1"/>
  <c r="C21" i="1"/>
  <c r="B21" i="1" s="1"/>
  <c r="E10" i="1"/>
  <c r="E9" i="1"/>
  <c r="E11" i="1"/>
  <c r="E12" i="1"/>
  <c r="E14" i="1"/>
  <c r="E13" i="1"/>
  <c r="E15" i="1"/>
  <c r="F35" i="1"/>
  <c r="C35" i="1"/>
  <c r="B35" i="1" s="1"/>
  <c r="E4" i="3"/>
  <c r="D4" i="3"/>
  <c r="D14" i="1"/>
  <c r="D9" i="1"/>
  <c r="D11" i="1"/>
  <c r="D10" i="1"/>
  <c r="D12" i="1"/>
  <c r="D13" i="1"/>
  <c r="D15" i="1"/>
  <c r="D16" i="1"/>
  <c r="D17" i="1"/>
  <c r="B30" i="1"/>
  <c r="B31" i="1"/>
  <c r="G26" i="1"/>
  <c r="C26" i="1"/>
  <c r="B26" i="1" s="1"/>
  <c r="C12" i="1" l="1"/>
  <c r="B12" i="1" s="1"/>
  <c r="C11" i="1"/>
  <c r="B11" i="1" s="1"/>
  <c r="B17" i="1"/>
  <c r="C13" i="1"/>
  <c r="B13" i="1" s="1"/>
  <c r="C9" i="1"/>
  <c r="B9" i="1" s="1"/>
  <c r="C10" i="1"/>
  <c r="B10" i="1" s="1"/>
  <c r="C14" i="1"/>
  <c r="B14" i="1" s="1"/>
  <c r="C15" i="1"/>
  <c r="B15" i="1" s="1"/>
  <c r="F8" i="2" l="1"/>
  <c r="E8" i="2"/>
  <c r="P8" i="2"/>
  <c r="Q8" i="2"/>
  <c r="N8" i="2"/>
  <c r="D8" i="2"/>
  <c r="O8" i="2"/>
  <c r="C8" i="2"/>
  <c r="S8" i="2" l="1"/>
  <c r="T8" i="2" s="1"/>
  <c r="O9" i="2"/>
  <c r="V8" i="2"/>
  <c r="R8" i="2"/>
  <c r="N9" i="2"/>
  <c r="Q9" i="2"/>
  <c r="P9" i="2"/>
  <c r="C9" i="2"/>
  <c r="K8" i="2"/>
  <c r="E9" i="2"/>
  <c r="G8" i="2"/>
  <c r="D9" i="2"/>
  <c r="F9" i="2"/>
  <c r="H8" i="2"/>
  <c r="H9" i="2" l="1"/>
  <c r="I9" i="2" s="1"/>
  <c r="W8" i="2"/>
  <c r="I8" i="2"/>
  <c r="S9" i="2"/>
  <c r="L8" i="2"/>
  <c r="P10" i="2"/>
  <c r="N10" i="2"/>
  <c r="Q10" i="2"/>
  <c r="R9" i="2"/>
  <c r="V9" i="2"/>
  <c r="W9" i="2" s="1"/>
  <c r="O10" i="2"/>
  <c r="C10" i="2"/>
  <c r="D10" i="2"/>
  <c r="E10" i="2"/>
  <c r="G9" i="2"/>
  <c r="F10" i="2"/>
  <c r="K9" i="2"/>
  <c r="L9" i="2" s="1"/>
  <c r="S10" i="2" l="1"/>
  <c r="T10" i="2" s="1"/>
  <c r="H10" i="2"/>
  <c r="G10" i="2"/>
  <c r="E11" i="2"/>
  <c r="F11" i="2"/>
  <c r="K10" i="2"/>
  <c r="L10" i="2" s="1"/>
  <c r="D11" i="2"/>
  <c r="C11" i="2"/>
  <c r="P11" i="2"/>
  <c r="R10" i="2"/>
  <c r="Q11" i="2"/>
  <c r="V10" i="2"/>
  <c r="W10" i="2" s="1"/>
  <c r="N11" i="2"/>
  <c r="O11" i="2"/>
  <c r="T9" i="2"/>
  <c r="S11" i="2" l="1"/>
  <c r="T11" i="2" s="1"/>
  <c r="H11" i="2"/>
  <c r="I11" i="2" s="1"/>
  <c r="Q12" i="2"/>
  <c r="P12" i="2"/>
  <c r="R11" i="2"/>
  <c r="V11" i="2"/>
  <c r="O12" i="2"/>
  <c r="N12" i="2"/>
  <c r="D12" i="2"/>
  <c r="C12" i="2"/>
  <c r="K11" i="2"/>
  <c r="F12" i="2"/>
  <c r="G11" i="2"/>
  <c r="E12" i="2"/>
  <c r="I10" i="2"/>
  <c r="L11" i="2" l="1"/>
  <c r="P13" i="2"/>
  <c r="O13" i="2"/>
  <c r="N13" i="2"/>
  <c r="Q13" i="2"/>
  <c r="R12" i="2"/>
  <c r="V12" i="2"/>
  <c r="W12" i="2" s="1"/>
  <c r="C13" i="2"/>
  <c r="G12" i="2"/>
  <c r="F13" i="2"/>
  <c r="E13" i="2"/>
  <c r="K12" i="2"/>
  <c r="L12" i="2" s="1"/>
  <c r="D13" i="2"/>
  <c r="S12" i="2"/>
  <c r="W11" i="2"/>
  <c r="H12" i="2"/>
  <c r="S13" i="2" l="1"/>
  <c r="T13" i="2" s="1"/>
  <c r="F14" i="2"/>
  <c r="D14" i="2"/>
  <c r="E14" i="2"/>
  <c r="C14" i="2"/>
  <c r="G13" i="2"/>
  <c r="K13" i="2"/>
  <c r="L13" i="2" s="1"/>
  <c r="T12" i="2"/>
  <c r="H13" i="2"/>
  <c r="I13" i="2" s="1"/>
  <c r="I12" i="2"/>
  <c r="O14" i="2"/>
  <c r="P14" i="2"/>
  <c r="Q14" i="2"/>
  <c r="N14" i="2"/>
  <c r="R13" i="2"/>
  <c r="V13" i="2"/>
  <c r="N15" i="2" l="1"/>
  <c r="R14" i="2"/>
  <c r="P15" i="2"/>
  <c r="Q15" i="2"/>
  <c r="V14" i="2"/>
  <c r="W14" i="2" s="1"/>
  <c r="O15" i="2"/>
  <c r="S14" i="2"/>
  <c r="W13" i="2"/>
  <c r="H14" i="2"/>
  <c r="F15" i="2"/>
  <c r="C15" i="2"/>
  <c r="K14" i="2"/>
  <c r="L14" i="2" s="1"/>
  <c r="E15" i="2"/>
  <c r="D15" i="2"/>
  <c r="G14" i="2"/>
  <c r="G15" i="2" l="1"/>
  <c r="D16" i="2"/>
  <c r="F16" i="2"/>
  <c r="C16" i="2"/>
  <c r="E16" i="2"/>
  <c r="K15" i="2"/>
  <c r="L15" i="2" s="1"/>
  <c r="I14" i="2"/>
  <c r="T14" i="2"/>
  <c r="S15" i="2"/>
  <c r="T15" i="2" s="1"/>
  <c r="H15" i="2"/>
  <c r="I15" i="2" s="1"/>
  <c r="N16" i="2"/>
  <c r="Q16" i="2"/>
  <c r="P16" i="2"/>
  <c r="O16" i="2"/>
  <c r="R15" i="2"/>
  <c r="V15" i="2"/>
  <c r="W15" i="2" s="1"/>
  <c r="S16" i="2" l="1"/>
  <c r="T16" i="2" s="1"/>
  <c r="K16" i="2"/>
  <c r="L16" i="2" s="1"/>
  <c r="C17" i="2"/>
  <c r="F17" i="2"/>
  <c r="G16" i="2"/>
  <c r="E17" i="2"/>
  <c r="D17" i="2"/>
  <c r="P17" i="2"/>
  <c r="O17" i="2"/>
  <c r="Q17" i="2"/>
  <c r="V16" i="2"/>
  <c r="W16" i="2" s="1"/>
  <c r="R16" i="2"/>
  <c r="N17" i="2"/>
  <c r="H16" i="2"/>
  <c r="I16" i="2" s="1"/>
  <c r="E18" i="2" l="1"/>
  <c r="C18" i="2"/>
  <c r="D18" i="2"/>
  <c r="K17" i="2"/>
  <c r="L17" i="2" s="1"/>
  <c r="F18" i="2"/>
  <c r="G17" i="2"/>
  <c r="S17" i="2"/>
  <c r="T17" i="2" s="1"/>
  <c r="O18" i="2"/>
  <c r="R17" i="2"/>
  <c r="N18" i="2"/>
  <c r="V17" i="2"/>
  <c r="W17" i="2" s="1"/>
  <c r="P18" i="2"/>
  <c r="Q18" i="2"/>
  <c r="H17" i="2"/>
  <c r="I17" i="2" s="1"/>
  <c r="N19" i="2" l="1"/>
  <c r="O19" i="2"/>
  <c r="R18" i="2"/>
  <c r="P19" i="2"/>
  <c r="V18" i="2"/>
  <c r="W18" i="2" s="1"/>
  <c r="Q19" i="2"/>
  <c r="C19" i="2"/>
  <c r="E19" i="2"/>
  <c r="F19" i="2"/>
  <c r="G18" i="2"/>
  <c r="D19" i="2"/>
  <c r="K18" i="2"/>
  <c r="L18" i="2" s="1"/>
  <c r="S18" i="2"/>
  <c r="T18" i="2" s="1"/>
  <c r="H18" i="2"/>
  <c r="I18" i="2" s="1"/>
  <c r="S19" i="2" l="1"/>
  <c r="T19" i="2" s="1"/>
  <c r="C20" i="2"/>
  <c r="E20" i="2"/>
  <c r="G19" i="2"/>
  <c r="D20" i="2"/>
  <c r="F20" i="2"/>
  <c r="K19" i="2"/>
  <c r="L19" i="2" s="1"/>
  <c r="H19" i="2"/>
  <c r="I19" i="2" s="1"/>
  <c r="Q20" i="2"/>
  <c r="P20" i="2"/>
  <c r="R19" i="2"/>
  <c r="N20" i="2"/>
  <c r="O20" i="2"/>
  <c r="V19" i="2"/>
  <c r="W19" i="2" s="1"/>
  <c r="S20" i="2" l="1"/>
  <c r="T20" i="2" s="1"/>
  <c r="N21" i="2"/>
  <c r="R20" i="2"/>
  <c r="V20" i="2"/>
  <c r="W20" i="2" s="1"/>
  <c r="P21" i="2"/>
  <c r="Q21" i="2"/>
  <c r="O21" i="2"/>
  <c r="H20" i="2"/>
  <c r="I20" i="2" s="1"/>
  <c r="C21" i="2"/>
  <c r="E21" i="2"/>
  <c r="D21" i="2"/>
  <c r="F21" i="2"/>
  <c r="G20" i="2"/>
  <c r="K20" i="2"/>
  <c r="L20" i="2" s="1"/>
  <c r="H21" i="2" l="1"/>
  <c r="I21" i="2" s="1"/>
  <c r="S21" i="2"/>
  <c r="T21" i="2" s="1"/>
  <c r="V21" i="2"/>
  <c r="W21" i="2" s="1"/>
  <c r="O22" i="2"/>
  <c r="P22" i="2"/>
  <c r="N22" i="2"/>
  <c r="Q22" i="2"/>
  <c r="R21" i="2"/>
  <c r="D22" i="2"/>
  <c r="E22" i="2"/>
  <c r="K21" i="2"/>
  <c r="L21" i="2" s="1"/>
  <c r="F22" i="2"/>
  <c r="C22" i="2"/>
  <c r="G21" i="2"/>
  <c r="H22" i="2" l="1"/>
  <c r="I22" i="2" s="1"/>
  <c r="S22" i="2"/>
  <c r="T22" i="2" s="1"/>
  <c r="O23" i="2"/>
  <c r="N23" i="2"/>
  <c r="V22" i="2"/>
  <c r="W22" i="2" s="1"/>
  <c r="Q23" i="2"/>
  <c r="P23" i="2"/>
  <c r="R22" i="2"/>
  <c r="K22" i="2"/>
  <c r="L22" i="2" s="1"/>
  <c r="C23" i="2"/>
  <c r="G22" i="2"/>
  <c r="F23" i="2"/>
  <c r="E23" i="2"/>
  <c r="D23" i="2"/>
  <c r="H23" i="2" l="1"/>
  <c r="I23" i="2" s="1"/>
  <c r="N24" i="2"/>
  <c r="P24" i="2"/>
  <c r="R23" i="2"/>
  <c r="Q24" i="2"/>
  <c r="V23" i="2"/>
  <c r="W23" i="2" s="1"/>
  <c r="O24" i="2"/>
  <c r="G23" i="2"/>
  <c r="F24" i="2"/>
  <c r="C24" i="2"/>
  <c r="D24" i="2"/>
  <c r="K23" i="2"/>
  <c r="L23" i="2" s="1"/>
  <c r="E24" i="2"/>
  <c r="S23" i="2"/>
  <c r="T23" i="2" s="1"/>
  <c r="N25" i="2" l="1"/>
  <c r="Q25" i="2"/>
  <c r="V24" i="2"/>
  <c r="W24" i="2" s="1"/>
  <c r="O25" i="2"/>
  <c r="R24" i="2"/>
  <c r="P25" i="2"/>
  <c r="E25" i="2"/>
  <c r="D25" i="2"/>
  <c r="C25" i="2"/>
  <c r="G24" i="2"/>
  <c r="K24" i="2"/>
  <c r="L24" i="2" s="1"/>
  <c r="F25" i="2"/>
  <c r="H24" i="2"/>
  <c r="I24" i="2" s="1"/>
  <c r="S24" i="2"/>
  <c r="T24" i="2" s="1"/>
  <c r="H25" i="2" l="1"/>
  <c r="I25" i="2" s="1"/>
  <c r="S25" i="2"/>
  <c r="T25" i="2" s="1"/>
  <c r="G25" i="2"/>
  <c r="D26" i="2"/>
  <c r="E26" i="2"/>
  <c r="K25" i="2"/>
  <c r="L25" i="2" s="1"/>
  <c r="F26" i="2"/>
  <c r="C26" i="2"/>
  <c r="O26" i="2"/>
  <c r="V25" i="2"/>
  <c r="W25" i="2" s="1"/>
  <c r="N26" i="2"/>
  <c r="Q26" i="2"/>
  <c r="R25" i="2"/>
  <c r="P26" i="2"/>
  <c r="S26" i="2" l="1"/>
  <c r="T26" i="2" s="1"/>
  <c r="E27" i="2"/>
  <c r="K26" i="2"/>
  <c r="L26" i="2" s="1"/>
  <c r="D27" i="2"/>
  <c r="F27" i="2"/>
  <c r="C27" i="2"/>
  <c r="G26" i="2"/>
  <c r="N27" i="2"/>
  <c r="O27" i="2"/>
  <c r="R26" i="2"/>
  <c r="V26" i="2"/>
  <c r="W26" i="2" s="1"/>
  <c r="Q27" i="2"/>
  <c r="P27" i="2"/>
  <c r="H26" i="2"/>
  <c r="I26" i="2" s="1"/>
  <c r="H27" i="2" l="1"/>
  <c r="I27" i="2" s="1"/>
  <c r="I29" i="2" s="1"/>
  <c r="B5" i="3" s="1"/>
  <c r="S27" i="2"/>
  <c r="R27" i="2"/>
  <c r="V27" i="2"/>
  <c r="K27" i="2"/>
  <c r="G27" i="2"/>
  <c r="H29" i="2" l="1"/>
  <c r="T27" i="2"/>
  <c r="T29" i="2" s="1"/>
  <c r="D5" i="3" s="1"/>
  <c r="F5" i="3" s="1"/>
  <c r="S29" i="2"/>
  <c r="W27" i="2"/>
  <c r="W29" i="2" s="1"/>
  <c r="E5" i="3" s="1"/>
  <c r="V29" i="2"/>
  <c r="L27" i="2"/>
  <c r="L29" i="2" s="1"/>
  <c r="C5" i="3" s="1"/>
  <c r="K29" i="2"/>
  <c r="G5" i="3" l="1"/>
  <c r="I5" i="3" s="1"/>
</calcChain>
</file>

<file path=xl/sharedStrings.xml><?xml version="1.0" encoding="utf-8"?>
<sst xmlns="http://schemas.openxmlformats.org/spreadsheetml/2006/main" count="96" uniqueCount="83">
  <si>
    <t>Parameters of the model</t>
  </si>
  <si>
    <t>Name</t>
  </si>
  <si>
    <t>live</t>
  </si>
  <si>
    <t>deterministic</t>
  </si>
  <si>
    <t>probabilistic</t>
  </si>
  <si>
    <t>alpha</t>
  </si>
  <si>
    <t>beta</t>
  </si>
  <si>
    <t>description</t>
  </si>
  <si>
    <t>tpA2B</t>
  </si>
  <si>
    <t>tpA2A</t>
  </si>
  <si>
    <t>tpA2C</t>
  </si>
  <si>
    <t>tpB2B</t>
  </si>
  <si>
    <t>tpB2C</t>
  </si>
  <si>
    <t>tpB2D</t>
  </si>
  <si>
    <t>tpC2C</t>
  </si>
  <si>
    <t>tpC2D</t>
  </si>
  <si>
    <t>Transition probabilities</t>
  </si>
  <si>
    <t>Costs</t>
  </si>
  <si>
    <t>dmca</t>
  </si>
  <si>
    <t>dmcb</t>
  </si>
  <si>
    <t>dmcc</t>
  </si>
  <si>
    <t>Direct medical costs associated with state A</t>
  </si>
  <si>
    <t>Direct medical costs associated with state B</t>
  </si>
  <si>
    <t>Direct medical costs associated with state C</t>
  </si>
  <si>
    <t>ccca</t>
  </si>
  <si>
    <t>cccb</t>
  </si>
  <si>
    <t>cccc</t>
  </si>
  <si>
    <t>Community care costs associated with state A</t>
  </si>
  <si>
    <t>Community care costs associated with state B</t>
  </si>
  <si>
    <t>Community care costs associated with state C</t>
  </si>
  <si>
    <t>Drug costs</t>
  </si>
  <si>
    <t>Zidovudine drug cost</t>
  </si>
  <si>
    <t>Lamivudine drug cost</t>
  </si>
  <si>
    <t>cAZT</t>
  </si>
  <si>
    <t>cLam</t>
  </si>
  <si>
    <t>Other parameters</t>
  </si>
  <si>
    <t>Transition probability from A to A</t>
  </si>
  <si>
    <t>Transition probability from A to B</t>
  </si>
  <si>
    <t>Transition probability from A to C</t>
  </si>
  <si>
    <t>Transition probability from A to D</t>
  </si>
  <si>
    <t>Transition probability from B to B</t>
  </si>
  <si>
    <t>Transition probability from B to C</t>
  </si>
  <si>
    <t>Transition probability from B to D</t>
  </si>
  <si>
    <t>Transition probability from C to C</t>
  </si>
  <si>
    <t>Transition probability from C to D</t>
  </si>
  <si>
    <t>Treatment effect (RR)</t>
  </si>
  <si>
    <t>Annual discount rate - costs (%)</t>
  </si>
  <si>
    <t>Annual discount rate - benefits (%)</t>
  </si>
  <si>
    <t>RR</t>
  </si>
  <si>
    <t>cDR</t>
  </si>
  <si>
    <t>oDR</t>
  </si>
  <si>
    <t>Probabilistic?</t>
  </si>
  <si>
    <t>A</t>
  </si>
  <si>
    <t>B</t>
  </si>
  <si>
    <t>C</t>
  </si>
  <si>
    <t>D</t>
  </si>
  <si>
    <t>tpA2D</t>
  </si>
  <si>
    <t>Markov model</t>
  </si>
  <si>
    <t>Year</t>
  </si>
  <si>
    <t>MONOTHERAPY</t>
  </si>
  <si>
    <t>COMBINATION THERAPY</t>
  </si>
  <si>
    <t xml:space="preserve">Life </t>
  </si>
  <si>
    <t>Years</t>
  </si>
  <si>
    <t>no disc</t>
  </si>
  <si>
    <t>disc</t>
  </si>
  <si>
    <t>sum</t>
  </si>
  <si>
    <t>Life</t>
  </si>
  <si>
    <t>Cost</t>
  </si>
  <si>
    <t>Mono</t>
  </si>
  <si>
    <t>Comb</t>
  </si>
  <si>
    <t>LYs</t>
  </si>
  <si>
    <t>Difference</t>
  </si>
  <si>
    <t>LYG</t>
  </si>
  <si>
    <t>incCost</t>
  </si>
  <si>
    <t>Analysis</t>
  </si>
  <si>
    <t>Estimated</t>
  </si>
  <si>
    <t>ICER</t>
  </si>
  <si>
    <t>se</t>
  </si>
  <si>
    <t>random</t>
  </si>
  <si>
    <t>draw</t>
  </si>
  <si>
    <t>single draw</t>
  </si>
  <si>
    <t>ln mean</t>
  </si>
  <si>
    <t>ln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</si>
</sst>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&quot;£&quot;* #,##0_-;\-&quot;£&quot;* #,##0_-;_-&quot;£&quot;* &quot;-&quot;??_-;_-@_-"/>
    <numFmt numFmtId="167" formatCode="0.0000"/>
    <numFmt numFmtId="168" formatCode="0.000"/>
    <numFmt numFmtId="169" formatCode="&quot;£&quot;#,##0"/>
  </numFmts>
  <fonts count="6" x14ac:knownFonts="1">
    <font>
      <sz val="10"/>
      <name val="Arial"/>
    </font>
    <font>
      <sz val="10"/>
      <name val="Arial"/>
    </font>
    <font>
      <sz val="8"/>
      <name val="Arial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66" fontId="0" fillId="0" borderId="0" xfId="1" applyNumberFormat="1" applyFont="1"/>
    <xf numFmtId="168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0" xfId="0" applyAlignment="1">
      <alignment horizontal="right"/>
    </xf>
    <xf numFmtId="169" fontId="0" fillId="0" borderId="0" xfId="0" applyNumberFormat="1"/>
    <xf numFmtId="0" fontId="0" fillId="0" borderId="0" xfId="0" applyAlignmen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7"/>
  <sheetViews>
    <sheetView tabSelected="1" workbookViewId="0">
      <selection activeCell="D3" sqref="D3"/>
    </sheetView>
  </sheetViews>
  <sheetFormatPr baseColWidth="10" defaultColWidth="8.88671875" defaultRowHeight="13.2" x14ac:dyDescent="0.25"/>
  <cols>
    <col min="1" max="1" width="8.88671875" customWidth="1"/>
    <col min="2" max="2" width="10.33203125" bestFit="1" customWidth="1"/>
    <col min="3" max="3" width="11.88671875" customWidth="1"/>
    <col min="4" max="4" width="10.33203125" bestFit="1" customWidth="1"/>
  </cols>
  <sheetData>
    <row r="1" spans="1:8" ht="15.6" x14ac:dyDescent="0.3">
      <c r="A1" s="1" t="s">
        <v>0</v>
      </c>
    </row>
    <row r="2" spans="1:8" ht="15.6" x14ac:dyDescent="0.3">
      <c r="A2" s="1"/>
    </row>
    <row r="3" spans="1:8" ht="15.6" x14ac:dyDescent="0.3">
      <c r="A3" s="1"/>
      <c r="C3">
        <v>0</v>
      </c>
      <c r="D3" t="s">
        <v>51</v>
      </c>
    </row>
    <row r="5" spans="1:8" s="2" customFormat="1" x14ac:dyDescent="0.25">
      <c r="A5" s="2" t="s">
        <v>1</v>
      </c>
      <c r="B5" s="2" t="s">
        <v>2</v>
      </c>
      <c r="C5" s="2" t="s">
        <v>4</v>
      </c>
      <c r="D5" s="2" t="s">
        <v>3</v>
      </c>
      <c r="F5" s="2" t="s">
        <v>5</v>
      </c>
      <c r="G5" s="2" t="s">
        <v>6</v>
      </c>
      <c r="H5" s="2" t="s">
        <v>7</v>
      </c>
    </row>
    <row r="7" spans="1:8" x14ac:dyDescent="0.25">
      <c r="A7" s="3" t="s">
        <v>16</v>
      </c>
      <c r="E7" s="9" t="s">
        <v>78</v>
      </c>
    </row>
    <row r="8" spans="1:8" x14ac:dyDescent="0.25">
      <c r="E8" s="16" t="s">
        <v>79</v>
      </c>
    </row>
    <row r="9" spans="1:8" x14ac:dyDescent="0.25">
      <c r="A9" t="s">
        <v>9</v>
      </c>
      <c r="B9" s="5">
        <f>IF($C$3=1,C9,D9)</f>
        <v>0.72145328719723179</v>
      </c>
      <c r="C9" s="5">
        <f ca="1">E9/SUM($E$9:$E$12)</f>
        <v>0.72281806827506212</v>
      </c>
      <c r="D9" s="5">
        <f>F9/(F9+G9)</f>
        <v>0.72145328719723179</v>
      </c>
      <c r="E9" s="7">
        <f ca="1">IF(F9&lt;300,GAMMAINV(RAND(),F9,1),NORMINV(RAND(),F9,SQRT(F9)))</f>
        <v>1220.8956124986737</v>
      </c>
      <c r="F9">
        <v>1251</v>
      </c>
      <c r="G9">
        <v>483</v>
      </c>
      <c r="H9" t="s">
        <v>36</v>
      </c>
    </row>
    <row r="10" spans="1:8" x14ac:dyDescent="0.25">
      <c r="A10" t="s">
        <v>8</v>
      </c>
      <c r="B10" s="5">
        <f t="shared" ref="B10:B17" si="0">IF($C$3=1,C10,D10)</f>
        <v>0.20184544405997693</v>
      </c>
      <c r="C10" s="5">
        <f ca="1">E10/SUM($E$9:$E$12)</f>
        <v>0.20507920276116345</v>
      </c>
      <c r="D10" s="5">
        <f t="shared" ref="D10:D17" si="1">F10/(F10+G10)</f>
        <v>0.20184544405997693</v>
      </c>
      <c r="E10" s="7">
        <f t="shared" ref="E10:E15" ca="1" si="2">IF(F10&lt;300,GAMMAINV(RAND(),F10,1),NORMINV(RAND(),F10,SQRT(F10)))</f>
        <v>346.3946321421372</v>
      </c>
      <c r="F10">
        <v>350</v>
      </c>
      <c r="G10">
        <v>1384</v>
      </c>
      <c r="H10" t="s">
        <v>37</v>
      </c>
    </row>
    <row r="11" spans="1:8" x14ac:dyDescent="0.25">
      <c r="A11" t="s">
        <v>10</v>
      </c>
      <c r="B11" s="5">
        <f t="shared" si="0"/>
        <v>6.6897347174163777E-2</v>
      </c>
      <c r="C11" s="5">
        <f ca="1">E11/SUM($E$9:$E$12)</f>
        <v>6.5380022454335274E-2</v>
      </c>
      <c r="D11" s="5">
        <f t="shared" si="1"/>
        <v>6.6897347174163777E-2</v>
      </c>
      <c r="E11" s="7">
        <f t="shared" ca="1" si="2"/>
        <v>110.4319137318342</v>
      </c>
      <c r="F11">
        <v>116</v>
      </c>
      <c r="G11">
        <v>1618</v>
      </c>
      <c r="H11" t="s">
        <v>38</v>
      </c>
    </row>
    <row r="12" spans="1:8" x14ac:dyDescent="0.25">
      <c r="A12" t="s">
        <v>56</v>
      </c>
      <c r="B12" s="5">
        <f t="shared" si="0"/>
        <v>9.8039215686274508E-3</v>
      </c>
      <c r="C12" s="5">
        <f ca="1">E12/SUM($E$9:$E$12)</f>
        <v>6.7227065094392774E-3</v>
      </c>
      <c r="D12" s="5">
        <f t="shared" si="1"/>
        <v>9.8039215686274508E-3</v>
      </c>
      <c r="E12" s="7">
        <f t="shared" ca="1" si="2"/>
        <v>11.355171158183209</v>
      </c>
      <c r="F12">
        <v>17</v>
      </c>
      <c r="G12">
        <v>1717</v>
      </c>
      <c r="H12" t="s">
        <v>39</v>
      </c>
    </row>
    <row r="13" spans="1:8" x14ac:dyDescent="0.25">
      <c r="A13" t="s">
        <v>11</v>
      </c>
      <c r="B13" s="5">
        <f t="shared" si="0"/>
        <v>0.58108108108108103</v>
      </c>
      <c r="C13" s="5">
        <f ca="1">E13/SUM($E$13:$E$15)</f>
        <v>0.58886805125816299</v>
      </c>
      <c r="D13" s="5">
        <f t="shared" si="1"/>
        <v>0.58108108108108103</v>
      </c>
      <c r="E13" s="7">
        <f t="shared" ca="1" si="2"/>
        <v>756.38393877429598</v>
      </c>
      <c r="F13">
        <v>731</v>
      </c>
      <c r="G13">
        <v>527</v>
      </c>
      <c r="H13" t="s">
        <v>40</v>
      </c>
    </row>
    <row r="14" spans="1:8" x14ac:dyDescent="0.25">
      <c r="A14" t="s">
        <v>12</v>
      </c>
      <c r="B14" s="5">
        <f>IF($C$3=1,C14,D14)</f>
        <v>0.40699523052464232</v>
      </c>
      <c r="C14" s="5">
        <f ca="1">E14/SUM($E$13:$E$15)</f>
        <v>0.40099736389703017</v>
      </c>
      <c r="D14" s="5">
        <f>F14/(F14+G14)</f>
        <v>0.40699523052464232</v>
      </c>
      <c r="E14" s="7">
        <f t="shared" ca="1" si="2"/>
        <v>515.06948779867412</v>
      </c>
      <c r="F14">
        <v>512</v>
      </c>
      <c r="G14">
        <v>746</v>
      </c>
      <c r="H14" t="s">
        <v>41</v>
      </c>
    </row>
    <row r="15" spans="1:8" x14ac:dyDescent="0.25">
      <c r="A15" t="s">
        <v>13</v>
      </c>
      <c r="B15" s="5">
        <f t="shared" si="0"/>
        <v>1.192368839427663E-2</v>
      </c>
      <c r="C15" s="5">
        <f ca="1">E15/SUM($E$13:$E$15)</f>
        <v>1.0134584844806905E-2</v>
      </c>
      <c r="D15" s="5">
        <f t="shared" si="1"/>
        <v>1.192368839427663E-2</v>
      </c>
      <c r="E15" s="7">
        <f t="shared" ca="1" si="2"/>
        <v>13.017580400870953</v>
      </c>
      <c r="F15">
        <v>15</v>
      </c>
      <c r="G15">
        <v>1243</v>
      </c>
      <c r="H15" t="s">
        <v>42</v>
      </c>
    </row>
    <row r="16" spans="1:8" x14ac:dyDescent="0.25">
      <c r="A16" t="s">
        <v>14</v>
      </c>
      <c r="B16" s="5">
        <f t="shared" si="0"/>
        <v>0.75014293882218408</v>
      </c>
      <c r="C16" s="5">
        <f ca="1">1-C17</f>
        <v>0.74447834939390889</v>
      </c>
      <c r="D16" s="5">
        <f t="shared" si="1"/>
        <v>0.75014293882218408</v>
      </c>
      <c r="E16" s="7"/>
      <c r="F16">
        <v>1312</v>
      </c>
      <c r="G16">
        <v>437</v>
      </c>
      <c r="H16" t="s">
        <v>43</v>
      </c>
    </row>
    <row r="17" spans="1:8" x14ac:dyDescent="0.25">
      <c r="A17" t="s">
        <v>15</v>
      </c>
      <c r="B17" s="5">
        <f t="shared" si="0"/>
        <v>0.24985706117781589</v>
      </c>
      <c r="C17" s="5">
        <f ca="1">BETAINV(RAND(),F17,G17)</f>
        <v>0.25552165060609111</v>
      </c>
      <c r="D17" s="5">
        <f t="shared" si="1"/>
        <v>0.24985706117781589</v>
      </c>
      <c r="E17" s="7"/>
      <c r="F17">
        <v>437</v>
      </c>
      <c r="G17">
        <v>1312</v>
      </c>
      <c r="H17" t="s">
        <v>44</v>
      </c>
    </row>
    <row r="18" spans="1:8" x14ac:dyDescent="0.25">
      <c r="C18" s="5"/>
    </row>
    <row r="19" spans="1:8" x14ac:dyDescent="0.25">
      <c r="A19" s="3" t="s">
        <v>17</v>
      </c>
    </row>
    <row r="20" spans="1:8" x14ac:dyDescent="0.25">
      <c r="E20" s="16" t="s">
        <v>77</v>
      </c>
    </row>
    <row r="21" spans="1:8" x14ac:dyDescent="0.25">
      <c r="A21" t="s">
        <v>18</v>
      </c>
      <c r="B21" s="4">
        <f t="shared" ref="B21:B26" si="3">IF($C$3=1,C21,D21)</f>
        <v>1701</v>
      </c>
      <c r="C21" s="4">
        <f t="shared" ref="C21:C26" ca="1" si="4">GAMMAINV(RAND(),F21,G21)</f>
        <v>1836.6020053100767</v>
      </c>
      <c r="D21" s="4">
        <v>1701</v>
      </c>
      <c r="E21" s="8">
        <f t="shared" ref="E21:E26" si="5">D21</f>
        <v>1701</v>
      </c>
      <c r="F21" s="15">
        <f t="shared" ref="F21:F26" si="6">D21^2/E21^2</f>
        <v>1</v>
      </c>
      <c r="G21" s="7">
        <f t="shared" ref="G21:G26" si="7">E21^2/D21</f>
        <v>1701</v>
      </c>
      <c r="H21" t="s">
        <v>21</v>
      </c>
    </row>
    <row r="22" spans="1:8" x14ac:dyDescent="0.25">
      <c r="A22" t="s">
        <v>19</v>
      </c>
      <c r="B22" s="4">
        <f t="shared" si="3"/>
        <v>1774</v>
      </c>
      <c r="C22" s="4">
        <f t="shared" ca="1" si="4"/>
        <v>1119.9401967652136</v>
      </c>
      <c r="D22" s="4">
        <v>1774</v>
      </c>
      <c r="E22" s="8">
        <f t="shared" si="5"/>
        <v>1774</v>
      </c>
      <c r="F22" s="15">
        <f t="shared" si="6"/>
        <v>1</v>
      </c>
      <c r="G22" s="7">
        <f t="shared" si="7"/>
        <v>1774</v>
      </c>
      <c r="H22" t="s">
        <v>22</v>
      </c>
    </row>
    <row r="23" spans="1:8" x14ac:dyDescent="0.25">
      <c r="A23" t="s">
        <v>20</v>
      </c>
      <c r="B23" s="4">
        <f t="shared" si="3"/>
        <v>6948</v>
      </c>
      <c r="C23" s="4">
        <f t="shared" ca="1" si="4"/>
        <v>5274.2253001986392</v>
      </c>
      <c r="D23" s="4">
        <v>6948</v>
      </c>
      <c r="E23" s="8">
        <f t="shared" si="5"/>
        <v>6948</v>
      </c>
      <c r="F23" s="15">
        <f t="shared" si="6"/>
        <v>1</v>
      </c>
      <c r="G23" s="7">
        <f t="shared" si="7"/>
        <v>6948</v>
      </c>
      <c r="H23" t="s">
        <v>23</v>
      </c>
    </row>
    <row r="24" spans="1:8" x14ac:dyDescent="0.25">
      <c r="A24" t="s">
        <v>24</v>
      </c>
      <c r="B24" s="4">
        <f t="shared" si="3"/>
        <v>1055</v>
      </c>
      <c r="C24" s="4">
        <f t="shared" ca="1" si="4"/>
        <v>120.88115885513422</v>
      </c>
      <c r="D24" s="4">
        <v>1055</v>
      </c>
      <c r="E24" s="8">
        <f t="shared" si="5"/>
        <v>1055</v>
      </c>
      <c r="F24" s="15">
        <f t="shared" si="6"/>
        <v>1</v>
      </c>
      <c r="G24" s="7">
        <f t="shared" si="7"/>
        <v>1055</v>
      </c>
      <c r="H24" t="s">
        <v>27</v>
      </c>
    </row>
    <row r="25" spans="1:8" x14ac:dyDescent="0.25">
      <c r="A25" t="s">
        <v>25</v>
      </c>
      <c r="B25" s="4">
        <f t="shared" si="3"/>
        <v>1278</v>
      </c>
      <c r="C25" s="4">
        <f t="shared" ca="1" si="4"/>
        <v>2187.9813551865213</v>
      </c>
      <c r="D25" s="4">
        <v>1278</v>
      </c>
      <c r="E25" s="8">
        <f t="shared" si="5"/>
        <v>1278</v>
      </c>
      <c r="F25" s="15">
        <f t="shared" si="6"/>
        <v>1</v>
      </c>
      <c r="G25" s="7">
        <f t="shared" si="7"/>
        <v>1278</v>
      </c>
      <c r="H25" t="s">
        <v>28</v>
      </c>
    </row>
    <row r="26" spans="1:8" x14ac:dyDescent="0.25">
      <c r="A26" t="s">
        <v>26</v>
      </c>
      <c r="B26" s="4">
        <f t="shared" si="3"/>
        <v>2059</v>
      </c>
      <c r="C26" s="4">
        <f t="shared" ca="1" si="4"/>
        <v>1178.521379387367</v>
      </c>
      <c r="D26" s="4">
        <v>2059</v>
      </c>
      <c r="E26" s="8">
        <f t="shared" si="5"/>
        <v>2059</v>
      </c>
      <c r="F26" s="15">
        <f t="shared" si="6"/>
        <v>1</v>
      </c>
      <c r="G26" s="7">
        <f t="shared" si="7"/>
        <v>2059</v>
      </c>
      <c r="H26" t="s">
        <v>29</v>
      </c>
    </row>
    <row r="28" spans="1:8" x14ac:dyDescent="0.25">
      <c r="A28" s="3" t="s">
        <v>30</v>
      </c>
    </row>
    <row r="30" spans="1:8" x14ac:dyDescent="0.25">
      <c r="A30" t="s">
        <v>33</v>
      </c>
      <c r="B30" s="8">
        <f>D30</f>
        <v>2278</v>
      </c>
      <c r="D30" s="4">
        <v>2278</v>
      </c>
      <c r="H30" t="s">
        <v>31</v>
      </c>
    </row>
    <row r="31" spans="1:8" x14ac:dyDescent="0.25">
      <c r="A31" t="s">
        <v>34</v>
      </c>
      <c r="B31" s="8">
        <f>D31</f>
        <v>2085.5044500000004</v>
      </c>
      <c r="D31" s="4">
        <v>2085.5044500000004</v>
      </c>
      <c r="H31" t="s">
        <v>32</v>
      </c>
    </row>
    <row r="33" spans="1:8" x14ac:dyDescent="0.25">
      <c r="A33" s="3" t="s">
        <v>35</v>
      </c>
    </row>
    <row r="34" spans="1:8" x14ac:dyDescent="0.25">
      <c r="F34" t="s">
        <v>81</v>
      </c>
      <c r="G34" t="s">
        <v>82</v>
      </c>
    </row>
    <row r="35" spans="1:8" x14ac:dyDescent="0.25">
      <c r="A35" t="s">
        <v>48</v>
      </c>
      <c r="B35" s="6">
        <f>IF($C$3=1,C35,D35)</f>
        <v>0.50900000000000001</v>
      </c>
      <c r="C35" s="5">
        <f ca="1">EXP(NORMINV(RAND(),F35,G35))</f>
        <v>0.45238248715079599</v>
      </c>
      <c r="D35" s="5">
        <v>0.50900000000000001</v>
      </c>
      <c r="F35" s="5">
        <f>LN(D35)</f>
        <v>-0.67530726243161432</v>
      </c>
      <c r="G35">
        <f>(LN(0.71)-LN(0.365))/(1.96*2)</f>
        <v>0.16973663685022183</v>
      </c>
      <c r="H35" t="s">
        <v>45</v>
      </c>
    </row>
    <row r="36" spans="1:8" x14ac:dyDescent="0.25">
      <c r="A36" t="s">
        <v>49</v>
      </c>
      <c r="B36">
        <v>0.06</v>
      </c>
      <c r="H36" t="s">
        <v>46</v>
      </c>
    </row>
    <row r="37" spans="1:8" x14ac:dyDescent="0.25">
      <c r="A37" t="s">
        <v>50</v>
      </c>
      <c r="B37">
        <v>0</v>
      </c>
      <c r="H37" t="s">
        <v>47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29"/>
  <sheetViews>
    <sheetView workbookViewId="0">
      <selection activeCell="S9" sqref="S9"/>
    </sheetView>
  </sheetViews>
  <sheetFormatPr baseColWidth="10" defaultColWidth="8.88671875" defaultRowHeight="13.2" x14ac:dyDescent="0.25"/>
  <cols>
    <col min="1" max="9" width="8.88671875" customWidth="1"/>
    <col min="10" max="10" width="2.5546875" customWidth="1"/>
    <col min="11" max="11" width="10.33203125" bestFit="1" customWidth="1"/>
    <col min="21" max="21" width="3.77734375" customWidth="1"/>
  </cols>
  <sheetData>
    <row r="1" spans="1:23" ht="15.6" x14ac:dyDescent="0.3">
      <c r="A1" s="1" t="s">
        <v>57</v>
      </c>
    </row>
    <row r="5" spans="1:23" x14ac:dyDescent="0.25">
      <c r="C5" t="s">
        <v>59</v>
      </c>
      <c r="H5" s="11" t="s">
        <v>61</v>
      </c>
      <c r="I5" t="s">
        <v>62</v>
      </c>
      <c r="K5" s="11" t="s">
        <v>17</v>
      </c>
      <c r="N5" t="s">
        <v>60</v>
      </c>
      <c r="S5" s="11" t="s">
        <v>66</v>
      </c>
      <c r="T5" t="s">
        <v>62</v>
      </c>
      <c r="V5" s="11" t="s">
        <v>17</v>
      </c>
    </row>
    <row r="6" spans="1:23" x14ac:dyDescent="0.25">
      <c r="A6" t="s">
        <v>58</v>
      </c>
      <c r="C6" t="s">
        <v>52</v>
      </c>
      <c r="D6" t="s">
        <v>53</v>
      </c>
      <c r="E6" t="s">
        <v>54</v>
      </c>
      <c r="F6" t="s">
        <v>55</v>
      </c>
      <c r="H6" t="s">
        <v>63</v>
      </c>
      <c r="I6" t="s">
        <v>64</v>
      </c>
      <c r="K6" t="s">
        <v>63</v>
      </c>
      <c r="L6" t="s">
        <v>64</v>
      </c>
      <c r="N6" t="s">
        <v>52</v>
      </c>
      <c r="O6" t="s">
        <v>53</v>
      </c>
      <c r="P6" t="s">
        <v>54</v>
      </c>
      <c r="Q6" t="s">
        <v>55</v>
      </c>
      <c r="S6" s="14" t="s">
        <v>63</v>
      </c>
      <c r="T6" t="s">
        <v>64</v>
      </c>
      <c r="V6" s="14" t="s">
        <v>63</v>
      </c>
      <c r="W6" t="s">
        <v>64</v>
      </c>
    </row>
    <row r="7" spans="1:23" x14ac:dyDescent="0.25">
      <c r="A7">
        <v>0</v>
      </c>
      <c r="C7">
        <v>1</v>
      </c>
      <c r="N7">
        <v>1</v>
      </c>
    </row>
    <row r="8" spans="1:23" x14ac:dyDescent="0.25">
      <c r="A8">
        <v>1</v>
      </c>
      <c r="C8" s="5">
        <f t="shared" ref="C8:C27" si="0">C7*(1-tpA2B-tpA2C-tpA2D)</f>
        <v>0.7214532871972319</v>
      </c>
      <c r="D8" s="5">
        <f t="shared" ref="D8:D27" si="1">C7*tpA2B+D7*tpB2B</f>
        <v>0.20184544405997693</v>
      </c>
      <c r="E8" s="5">
        <f t="shared" ref="E8:E27" si="2">C7*tpA2C+D7*tpB2C+E7*tpC2C</f>
        <v>6.6897347174163777E-2</v>
      </c>
      <c r="F8" s="5">
        <f t="shared" ref="F8:F27" si="3">C7*tpA2D+D7*tpB2D+E7*tpC2D+F7</f>
        <v>9.8039215686274508E-3</v>
      </c>
      <c r="G8" s="5">
        <f>SUM(C8:F8)</f>
        <v>1</v>
      </c>
      <c r="H8" s="5">
        <f>(SUM(C8:E8)+(F8-F7)/2)</f>
        <v>0.99509803921568629</v>
      </c>
      <c r="I8" s="5">
        <f t="shared" ref="I8:I27" si="4">H8/(1+oDR)^A8</f>
        <v>0.99509803921568629</v>
      </c>
      <c r="K8" s="4">
        <f t="shared" ref="K8:K27" si="5">(C8*(dmca+ccca+cAZT)+D8*(dmcb+cccb+cAZT)+E8*(dmcc+cccc+cAZT))</f>
        <v>5462.5686274509808</v>
      </c>
      <c r="L8" s="8">
        <f t="shared" ref="L8:L27" si="6">K8/(1+cDR)^A8</f>
        <v>5153.3666296707361</v>
      </c>
      <c r="N8" s="5">
        <f>N7*(1-tpA2B*RR-tpA2C*RR-tpA2D*RR)</f>
        <v>0.85821972318339113</v>
      </c>
      <c r="O8" s="5">
        <f>N7*tpA2B*RR+O7*(1-tpB2C*RR-tpB2D*RR)</f>
        <v>0.10273933102652825</v>
      </c>
      <c r="P8" s="5">
        <f>N7*tpA2C*RR+O7*tpB2C*RR+P7*(1-tpC2D*RR)</f>
        <v>3.4050749711649363E-2</v>
      </c>
      <c r="Q8" s="5">
        <f>N7*tpA2D*RR+O7*tpB2D*RR+P7*tpC2D*RR+Q7</f>
        <v>4.9901960784313722E-3</v>
      </c>
      <c r="R8" s="5">
        <f>SUM(N8:Q8)</f>
        <v>1</v>
      </c>
      <c r="S8" s="5">
        <f>SUM(N8:P8)+(Q8-Q7)/2</f>
        <v>0.99750490196078434</v>
      </c>
      <c r="T8" s="5">
        <f t="shared" ref="T8:T27" si="7">S8/(1+oDR)^A8</f>
        <v>0.99750490196078434</v>
      </c>
      <c r="V8" s="4">
        <f>(N8*(dmca+ccca+cAZT+cLam)+O8*(dmcb+cccb+cAZT+cLam)+P8*(dmcc+cccc+cAZT+cLam))</f>
        <v>7327.2388052446095</v>
      </c>
      <c r="W8" s="8">
        <f t="shared" ref="W8:W27" si="8">V8/(1+cDR)^A8</f>
        <v>6912.4894389100082</v>
      </c>
    </row>
    <row r="9" spans="1:23" x14ac:dyDescent="0.25">
      <c r="A9">
        <v>2</v>
      </c>
      <c r="C9" s="5">
        <f t="shared" si="0"/>
        <v>0.52049484560769155</v>
      </c>
      <c r="D9" s="5">
        <f t="shared" si="1"/>
        <v>0.26291062796851761</v>
      </c>
      <c r="E9" s="5">
        <f t="shared" si="2"/>
        <v>0.18059601666774916</v>
      </c>
      <c r="F9" s="5">
        <f t="shared" si="3"/>
        <v>3.5998509756041755E-2</v>
      </c>
      <c r="G9" s="5">
        <f t="shared" ref="G9:G27" si="9">SUM(C9:F9)</f>
        <v>1</v>
      </c>
      <c r="H9" s="5">
        <f t="shared" ref="H9:H27" si="10">(SUM(C9:E9)+(F9-F8)/2)</f>
        <v>0.9770987843376655</v>
      </c>
      <c r="I9" s="5">
        <f t="shared" si="4"/>
        <v>0.9770987843376655</v>
      </c>
      <c r="K9" s="4">
        <f t="shared" si="5"/>
        <v>6059.5107479568669</v>
      </c>
      <c r="L9" s="8">
        <f t="shared" si="6"/>
        <v>5392.9429939096353</v>
      </c>
      <c r="N9" s="5">
        <f>N8*(1-tpA2B*RR-tpA2C*RR-tpA2D*RR)</f>
        <v>0.7365410932609765</v>
      </c>
      <c r="O9" s="5">
        <f>N8*tpA2B*RR+O8*(1-tpB2C*RR-tpB2D*RR)</f>
        <v>0.16900517147276228</v>
      </c>
      <c r="P9" s="5">
        <f>N8*tpA2C*RR+O8*tpB2C*RR+P8*(1-tpC2D*RR)</f>
        <v>8.0226832811136795E-2</v>
      </c>
      <c r="Q9" s="5">
        <f>N8*tpA2D*RR+O8*tpB2D*RR+P8*tpC2D*RR+Q8</f>
        <v>1.422690245512466E-2</v>
      </c>
      <c r="R9" s="5">
        <f t="shared" ref="R9:R27" si="11">SUM(N9:Q9)</f>
        <v>1.0000000000000002</v>
      </c>
      <c r="S9" s="5">
        <f t="shared" ref="S9:S27" si="12">SUM(N9:P9)+(Q9-Q8)/2</f>
        <v>0.99039145073322221</v>
      </c>
      <c r="T9" s="5">
        <f t="shared" si="7"/>
        <v>0.99039145073322221</v>
      </c>
      <c r="V9" s="4">
        <f>(N9*(dmca+ccca+cAZT+cLam)+O9*(dmcb+cccb+cAZT+cLam)+P9*(dmcc+cccc+cAZT+cLam))</f>
        <v>7569.7394173193798</v>
      </c>
      <c r="W9" s="8">
        <f t="shared" si="8"/>
        <v>6737.0411332497142</v>
      </c>
    </row>
    <row r="10" spans="1:23" x14ac:dyDescent="0.25">
      <c r="A10">
        <v>3</v>
      </c>
      <c r="C10" s="5">
        <f t="shared" si="0"/>
        <v>0.37551271733288477</v>
      </c>
      <c r="D10" s="5">
        <f t="shared" si="1"/>
        <v>0.25783190517026572</v>
      </c>
      <c r="E10" s="5">
        <f t="shared" si="2"/>
        <v>0.27729592270913128</v>
      </c>
      <c r="F10" s="5">
        <f t="shared" si="3"/>
        <v>8.935945478771827E-2</v>
      </c>
      <c r="G10" s="5">
        <f t="shared" si="9"/>
        <v>1</v>
      </c>
      <c r="H10" s="5">
        <f t="shared" si="10"/>
        <v>0.93732101772812004</v>
      </c>
      <c r="I10" s="5">
        <f t="shared" si="4"/>
        <v>0.93732101772812004</v>
      </c>
      <c r="K10" s="4">
        <f t="shared" si="5"/>
        <v>6393.8595613838042</v>
      </c>
      <c r="L10" s="8">
        <f t="shared" si="6"/>
        <v>5368.4077807382964</v>
      </c>
      <c r="N10" s="5">
        <f t="shared" ref="N10:N27" si="13">N9*tpA2A</f>
        <v>0.53137999288897431</v>
      </c>
      <c r="O10" s="5">
        <f t="shared" ref="O10:O27" si="14">N9*tpA2B+O9*tpB2B</f>
        <v>0.24687317178536888</v>
      </c>
      <c r="P10" s="5">
        <f t="shared" ref="P10:P27" si="15">N9*tpA2C+O9*tpB2C+P9*tpC2C</f>
        <v>0.17823853608467344</v>
      </c>
      <c r="Q10" s="5">
        <f t="shared" ref="Q10:Q27" si="16">N9*tpA2D+O9*tpB2D+P9*tpC2D+Q9</f>
        <v>4.3508299240983511E-2</v>
      </c>
      <c r="R10" s="5">
        <f t="shared" si="11"/>
        <v>1</v>
      </c>
      <c r="S10" s="5">
        <f t="shared" si="12"/>
        <v>0.97113239915194605</v>
      </c>
      <c r="T10" s="5">
        <f t="shared" si="7"/>
        <v>0.97113239915194605</v>
      </c>
      <c r="V10" s="4">
        <f t="shared" ref="V10:V27" si="17">(N10*(dmca+ccca+cAZT)+O10*(dmcb+cccb+cAZT)+P10*(dmcc+cccc+cAZT))</f>
        <v>6002.2227695346528</v>
      </c>
      <c r="W10" s="8">
        <f t="shared" si="8"/>
        <v>5039.5819783568413</v>
      </c>
    </row>
    <row r="11" spans="1:23" x14ac:dyDescent="0.25">
      <c r="A11">
        <v>4</v>
      </c>
      <c r="C11" s="5">
        <f t="shared" si="0"/>
        <v>0.27091488430417465</v>
      </c>
      <c r="D11" s="5">
        <f t="shared" si="1"/>
        <v>0.22561677337375749</v>
      </c>
      <c r="E11" s="5">
        <f t="shared" si="2"/>
        <v>0.3380687386855486</v>
      </c>
      <c r="F11" s="5">
        <f t="shared" si="3"/>
        <v>0.16539960363651929</v>
      </c>
      <c r="G11" s="5">
        <f t="shared" si="9"/>
        <v>1</v>
      </c>
      <c r="H11" s="5">
        <f t="shared" si="10"/>
        <v>0.87262047078788119</v>
      </c>
      <c r="I11" s="5">
        <f t="shared" si="4"/>
        <v>0.87262047078788119</v>
      </c>
      <c r="K11" s="4">
        <f t="shared" si="5"/>
        <v>6381.4286457357584</v>
      </c>
      <c r="L11" s="8">
        <f t="shared" si="6"/>
        <v>5054.6891926928765</v>
      </c>
      <c r="M11" s="13"/>
      <c r="N11" s="5">
        <f t="shared" si="13"/>
        <v>0.38336584262059215</v>
      </c>
      <c r="O11" s="5">
        <f t="shared" si="14"/>
        <v>0.25070996018021996</v>
      </c>
      <c r="P11" s="5">
        <f t="shared" si="15"/>
        <v>0.26972849459675508</v>
      </c>
      <c r="Q11" s="5">
        <f t="shared" si="16"/>
        <v>9.6195702602432889E-2</v>
      </c>
      <c r="R11" s="5">
        <f t="shared" si="11"/>
        <v>1</v>
      </c>
      <c r="S11" s="5">
        <f t="shared" si="12"/>
        <v>0.93014799907829182</v>
      </c>
      <c r="T11" s="5">
        <f t="shared" si="7"/>
        <v>0.93014799907829182</v>
      </c>
      <c r="V11" s="4">
        <f t="shared" si="17"/>
        <v>6310.0338010370142</v>
      </c>
      <c r="W11" s="8">
        <f t="shared" si="8"/>
        <v>4998.1377886191385</v>
      </c>
    </row>
    <row r="12" spans="1:23" x14ac:dyDescent="0.25">
      <c r="A12">
        <v>5</v>
      </c>
      <c r="C12" s="5">
        <f t="shared" si="0"/>
        <v>0.19545243383190455</v>
      </c>
      <c r="D12" s="5">
        <f t="shared" si="1"/>
        <v>0.18578457370688167</v>
      </c>
      <c r="E12" s="5">
        <f t="shared" si="2"/>
        <v>0.36354831492090961</v>
      </c>
      <c r="F12" s="5">
        <f t="shared" si="3"/>
        <v>0.25521467754030419</v>
      </c>
      <c r="G12" s="5">
        <f t="shared" si="9"/>
        <v>1</v>
      </c>
      <c r="H12" s="5">
        <f t="shared" si="10"/>
        <v>0.78969285941158829</v>
      </c>
      <c r="I12" s="5">
        <f t="shared" si="4"/>
        <v>0.78969285941158829</v>
      </c>
      <c r="K12" s="4">
        <f t="shared" si="5"/>
        <v>6076.7820636499519</v>
      </c>
      <c r="L12" s="8">
        <f t="shared" si="6"/>
        <v>4540.9250617882899</v>
      </c>
      <c r="N12" s="5">
        <f t="shared" si="13"/>
        <v>0.27658054735776283</v>
      </c>
      <c r="O12" s="5">
        <f t="shared" si="14"/>
        <v>0.22306346344049766</v>
      </c>
      <c r="P12" s="5">
        <f t="shared" si="15"/>
        <v>0.33001884152777156</v>
      </c>
      <c r="Q12" s="5">
        <f t="shared" si="16"/>
        <v>0.17033714767396801</v>
      </c>
      <c r="R12" s="5">
        <f t="shared" si="11"/>
        <v>1</v>
      </c>
      <c r="S12" s="5">
        <f t="shared" si="12"/>
        <v>0.86673357486179969</v>
      </c>
      <c r="T12" s="5">
        <f t="shared" si="7"/>
        <v>0.86673357486179969</v>
      </c>
      <c r="V12" s="4">
        <f t="shared" si="17"/>
        <v>6305.4973621777326</v>
      </c>
      <c r="W12" s="8">
        <f t="shared" si="8"/>
        <v>4711.8344378726742</v>
      </c>
    </row>
    <row r="13" spans="1:23" x14ac:dyDescent="0.25">
      <c r="A13">
        <v>6</v>
      </c>
      <c r="C13" s="5">
        <f t="shared" si="0"/>
        <v>0.141009800878727</v>
      </c>
      <c r="D13" s="5">
        <f t="shared" si="1"/>
        <v>0.14740708423718663</v>
      </c>
      <c r="E13" s="5">
        <f t="shared" si="2"/>
        <v>0.36140188608446694</v>
      </c>
      <c r="F13" s="5">
        <f t="shared" si="3"/>
        <v>0.35018122879961949</v>
      </c>
      <c r="G13" s="5">
        <f t="shared" si="9"/>
        <v>1</v>
      </c>
      <c r="H13" s="5">
        <f t="shared" si="10"/>
        <v>0.69730204683003816</v>
      </c>
      <c r="I13" s="5">
        <f t="shared" si="4"/>
        <v>0.69730204683003816</v>
      </c>
      <c r="J13" s="9"/>
      <c r="K13" s="4">
        <f t="shared" si="5"/>
        <v>5573.9433810709261</v>
      </c>
      <c r="L13" s="8">
        <f t="shared" si="6"/>
        <v>3929.4101382999165</v>
      </c>
      <c r="N13" s="5">
        <f t="shared" si="13"/>
        <v>0.19953994506606762</v>
      </c>
      <c r="O13" s="5">
        <f t="shared" si="14"/>
        <v>0.18544448188547369</v>
      </c>
      <c r="P13" s="5">
        <f t="shared" si="15"/>
        <v>0.35684957427313818</v>
      </c>
      <c r="Q13" s="5">
        <f t="shared" si="16"/>
        <v>0.25816599877532054</v>
      </c>
      <c r="R13" s="5">
        <f t="shared" si="11"/>
        <v>1</v>
      </c>
      <c r="S13" s="5">
        <f t="shared" si="12"/>
        <v>0.78574842677535583</v>
      </c>
      <c r="T13" s="5">
        <f t="shared" si="7"/>
        <v>0.78574842677535583</v>
      </c>
      <c r="U13" s="9"/>
      <c r="V13" s="4">
        <f t="shared" si="17"/>
        <v>6019.9506175845236</v>
      </c>
      <c r="W13" s="8">
        <f t="shared" si="8"/>
        <v>4243.8276407925487</v>
      </c>
    </row>
    <row r="14" spans="1:23" x14ac:dyDescent="0.25">
      <c r="A14">
        <v>7</v>
      </c>
      <c r="C14" s="5">
        <f t="shared" si="0"/>
        <v>0.10173198437098471</v>
      </c>
      <c r="D14" s="5">
        <f t="shared" si="1"/>
        <v>0.11411765374272996</v>
      </c>
      <c r="E14" s="5">
        <f t="shared" si="2"/>
        <v>0.34053023475770527</v>
      </c>
      <c r="F14" s="5">
        <f t="shared" si="3"/>
        <v>0.44362012712858012</v>
      </c>
      <c r="G14" s="5">
        <f t="shared" si="9"/>
        <v>1</v>
      </c>
      <c r="H14" s="5">
        <f t="shared" si="10"/>
        <v>0.60309932203590033</v>
      </c>
      <c r="I14" s="5">
        <f t="shared" si="4"/>
        <v>0.60309932203590033</v>
      </c>
      <c r="J14" s="9"/>
      <c r="K14" s="4">
        <f t="shared" si="5"/>
        <v>4963.2496030129914</v>
      </c>
      <c r="L14" s="8">
        <f t="shared" si="6"/>
        <v>3300.844455167025</v>
      </c>
      <c r="N14" s="5">
        <f t="shared" si="13"/>
        <v>0.14395874929506955</v>
      </c>
      <c r="O14" s="5">
        <f t="shared" si="14"/>
        <v>0.14803450883409583</v>
      </c>
      <c r="P14" s="5">
        <f t="shared" si="15"/>
        <v>0.35651190099739666</v>
      </c>
      <c r="Q14" s="5">
        <f t="shared" si="16"/>
        <v>0.35149484087343796</v>
      </c>
      <c r="R14" s="5">
        <f t="shared" si="11"/>
        <v>1</v>
      </c>
      <c r="S14" s="5">
        <f t="shared" si="12"/>
        <v>0.6951695801756208</v>
      </c>
      <c r="T14" s="5">
        <f t="shared" si="7"/>
        <v>0.6951695801756208</v>
      </c>
      <c r="U14" s="9"/>
      <c r="V14" s="4">
        <f t="shared" si="17"/>
        <v>5536.9490787927316</v>
      </c>
      <c r="W14" s="8">
        <f t="shared" si="8"/>
        <v>3682.3873726157467</v>
      </c>
    </row>
    <row r="15" spans="1:23" x14ac:dyDescent="0.25">
      <c r="A15">
        <v>8</v>
      </c>
      <c r="C15" s="5">
        <f t="shared" si="0"/>
        <v>7.3394874537544341E-2</v>
      </c>
      <c r="D15" s="5">
        <f t="shared" si="1"/>
        <v>8.6845747167726042E-2</v>
      </c>
      <c r="E15" s="5">
        <f t="shared" si="2"/>
        <v>0.30869729172808935</v>
      </c>
      <c r="F15" s="5">
        <f t="shared" si="3"/>
        <v>0.53106208656664033</v>
      </c>
      <c r="G15" s="5">
        <f t="shared" si="9"/>
        <v>1</v>
      </c>
      <c r="H15" s="5">
        <f t="shared" si="10"/>
        <v>0.51265889315238988</v>
      </c>
      <c r="I15" s="5">
        <f t="shared" si="4"/>
        <v>0.51265889315238988</v>
      </c>
      <c r="J15" s="9"/>
      <c r="K15" s="4">
        <f t="shared" si="5"/>
        <v>4316.0065679774671</v>
      </c>
      <c r="L15" s="8">
        <f t="shared" si="6"/>
        <v>2707.9159155416405</v>
      </c>
      <c r="N15" s="5">
        <f t="shared" si="13"/>
        <v>0.1038595128997301</v>
      </c>
      <c r="O15" s="5">
        <f t="shared" si="14"/>
        <v>0.11507747010840545</v>
      </c>
      <c r="P15" s="5">
        <f t="shared" si="15"/>
        <v>0.33731468261815634</v>
      </c>
      <c r="Q15" s="5">
        <f t="shared" si="16"/>
        <v>0.44374833437370809</v>
      </c>
      <c r="R15" s="5">
        <f t="shared" si="11"/>
        <v>1</v>
      </c>
      <c r="S15" s="5">
        <f t="shared" si="12"/>
        <v>0.60237841237642697</v>
      </c>
      <c r="T15" s="5">
        <f t="shared" si="7"/>
        <v>0.60237841237642697</v>
      </c>
      <c r="U15" s="9"/>
      <c r="V15" s="4">
        <f t="shared" si="17"/>
        <v>4942.7878969609365</v>
      </c>
      <c r="W15" s="8">
        <f t="shared" si="8"/>
        <v>3101.1662754719409</v>
      </c>
    </row>
    <row r="16" spans="1:23" x14ac:dyDescent="0.25">
      <c r="A16">
        <v>9</v>
      </c>
      <c r="C16" s="5">
        <f t="shared" si="0"/>
        <v>5.2950973498539777E-2</v>
      </c>
      <c r="D16" s="5">
        <f t="shared" si="1"/>
        <v>6.5278841694273421E-2</v>
      </c>
      <c r="E16" s="5">
        <f t="shared" si="2"/>
        <v>0.27182282091471377</v>
      </c>
      <c r="F16" s="5">
        <f t="shared" si="3"/>
        <v>0.60994736389247306</v>
      </c>
      <c r="G16" s="5">
        <f t="shared" si="9"/>
        <v>1</v>
      </c>
      <c r="H16" s="5">
        <f t="shared" si="10"/>
        <v>0.4294952747704433</v>
      </c>
      <c r="I16" s="5">
        <f t="shared" si="4"/>
        <v>0.4294952747704433</v>
      </c>
      <c r="J16" s="9"/>
      <c r="K16" s="4">
        <f t="shared" si="5"/>
        <v>3682.0119608446712</v>
      </c>
      <c r="L16" s="8">
        <f t="shared" si="6"/>
        <v>2179.3772223231354</v>
      </c>
      <c r="N16" s="5">
        <f t="shared" si="13"/>
        <v>7.4929786988213579E-2</v>
      </c>
      <c r="O16" s="5">
        <f t="shared" si="14"/>
        <v>8.7832910239766956E-2</v>
      </c>
      <c r="P16" s="5">
        <f t="shared" si="15"/>
        <v>0.30681813469381203</v>
      </c>
      <c r="Q16" s="5">
        <f t="shared" si="16"/>
        <v>0.53041916807820744</v>
      </c>
      <c r="R16" s="5">
        <f t="shared" si="11"/>
        <v>1</v>
      </c>
      <c r="S16" s="5">
        <f t="shared" si="12"/>
        <v>0.51291624877404218</v>
      </c>
      <c r="T16" s="5">
        <f t="shared" si="7"/>
        <v>0.51291624877404218</v>
      </c>
      <c r="U16" s="9"/>
      <c r="V16" s="4">
        <f t="shared" si="17"/>
        <v>4307.7886092962935</v>
      </c>
      <c r="W16" s="8">
        <f t="shared" si="8"/>
        <v>2549.7734590546193</v>
      </c>
    </row>
    <row r="17" spans="1:23" x14ac:dyDescent="0.25">
      <c r="A17">
        <v>10</v>
      </c>
      <c r="C17" s="5">
        <f t="shared" si="0"/>
        <v>3.8201653890815035E-2</v>
      </c>
      <c r="D17" s="5">
        <f t="shared" si="1"/>
        <v>4.8620212662649979E-2</v>
      </c>
      <c r="E17" s="5">
        <f t="shared" si="2"/>
        <v>0.23401642660098385</v>
      </c>
      <c r="F17" s="5">
        <f t="shared" si="3"/>
        <v>0.67916170684555122</v>
      </c>
      <c r="G17" s="5">
        <f t="shared" si="9"/>
        <v>1</v>
      </c>
      <c r="H17" s="5">
        <f t="shared" si="10"/>
        <v>0.35544546463098797</v>
      </c>
      <c r="I17" s="5">
        <f t="shared" si="4"/>
        <v>0.35544546463098797</v>
      </c>
      <c r="K17" s="4">
        <f t="shared" si="5"/>
        <v>3092.3282333703901</v>
      </c>
      <c r="L17" s="8">
        <f t="shared" si="6"/>
        <v>1726.7399340211796</v>
      </c>
      <c r="N17" s="5">
        <f t="shared" si="13"/>
        <v>5.4058341131635053E-2</v>
      </c>
      <c r="O17" s="5">
        <f t="shared" si="14"/>
        <v>6.6162278564576793E-2</v>
      </c>
      <c r="P17" s="5">
        <f t="shared" si="15"/>
        <v>0.27091763676767772</v>
      </c>
      <c r="Q17" s="5">
        <f t="shared" si="16"/>
        <v>0.60886174353611044</v>
      </c>
      <c r="R17" s="5">
        <f t="shared" si="11"/>
        <v>1</v>
      </c>
      <c r="S17" s="5">
        <f t="shared" si="12"/>
        <v>0.43035954419284106</v>
      </c>
      <c r="T17" s="5">
        <f t="shared" si="7"/>
        <v>0.43035954419284106</v>
      </c>
      <c r="V17" s="4">
        <f t="shared" si="17"/>
        <v>3682.0801649290884</v>
      </c>
      <c r="W17" s="8">
        <f t="shared" si="8"/>
        <v>2056.0543322791586</v>
      </c>
    </row>
    <row r="18" spans="1:23" x14ac:dyDescent="0.25">
      <c r="A18">
        <v>11</v>
      </c>
      <c r="C18" s="5">
        <f t="shared" si="0"/>
        <v>2.7560708775899431E-2</v>
      </c>
      <c r="D18" s="5">
        <f t="shared" si="1"/>
        <v>3.5963115529821822E-2</v>
      </c>
      <c r="E18" s="5">
        <f t="shared" si="2"/>
        <v>0.1978895539468814</v>
      </c>
      <c r="F18" s="5">
        <f t="shared" si="3"/>
        <v>0.73858662174739742</v>
      </c>
      <c r="G18" s="5">
        <f t="shared" si="9"/>
        <v>1</v>
      </c>
      <c r="H18" s="5">
        <f t="shared" si="10"/>
        <v>0.29112583570352579</v>
      </c>
      <c r="I18" s="5">
        <f t="shared" si="4"/>
        <v>0.29112583570352579</v>
      </c>
      <c r="K18" s="4">
        <f t="shared" si="5"/>
        <v>2563.6076300423847</v>
      </c>
      <c r="L18" s="8">
        <f t="shared" si="6"/>
        <v>1350.476519505105</v>
      </c>
      <c r="N18" s="5">
        <f t="shared" si="13"/>
        <v>3.9000567909847433E-2</v>
      </c>
      <c r="O18" s="5">
        <f t="shared" si="14"/>
        <v>4.9357078225952512E-2</v>
      </c>
      <c r="P18" s="5">
        <f t="shared" si="15"/>
        <v>0.23377104365443463</v>
      </c>
      <c r="Q18" s="5">
        <f t="shared" si="16"/>
        <v>0.67787131020976543</v>
      </c>
      <c r="R18" s="5">
        <f t="shared" si="11"/>
        <v>1</v>
      </c>
      <c r="S18" s="5">
        <f t="shared" si="12"/>
        <v>0.35663347312706206</v>
      </c>
      <c r="T18" s="5">
        <f t="shared" si="7"/>
        <v>0.35663347312706206</v>
      </c>
      <c r="V18" s="4">
        <f t="shared" si="17"/>
        <v>3097.5083134427937</v>
      </c>
      <c r="W18" s="8">
        <f t="shared" si="8"/>
        <v>1631.7287393185015</v>
      </c>
    </row>
    <row r="19" spans="1:23" x14ac:dyDescent="0.25">
      <c r="A19">
        <v>12</v>
      </c>
      <c r="C19" s="5">
        <f t="shared" si="0"/>
        <v>1.988376394385824E-2</v>
      </c>
      <c r="D19" s="5">
        <f t="shared" si="1"/>
        <v>2.6460489552591802E-2</v>
      </c>
      <c r="E19" s="5">
        <f t="shared" si="2"/>
        <v>0.16492600635871629</v>
      </c>
      <c r="F19" s="5">
        <f t="shared" si="3"/>
        <v>0.78872974014483377</v>
      </c>
      <c r="G19" s="5">
        <f t="shared" si="9"/>
        <v>1</v>
      </c>
      <c r="H19" s="5">
        <f t="shared" si="10"/>
        <v>0.23634181905388452</v>
      </c>
      <c r="I19" s="5">
        <f t="shared" si="4"/>
        <v>0.23634181905388452</v>
      </c>
      <c r="K19" s="4">
        <f t="shared" si="5"/>
        <v>2102.31925876681</v>
      </c>
      <c r="L19" s="8">
        <f t="shared" si="6"/>
        <v>1044.788264065013</v>
      </c>
      <c r="N19" s="5">
        <f t="shared" si="13"/>
        <v>2.8137087921118301E-2</v>
      </c>
      <c r="O19" s="5">
        <f t="shared" si="14"/>
        <v>3.6552551322894408E-2</v>
      </c>
      <c r="P19" s="5">
        <f t="shared" si="15"/>
        <v>0.19805882766051564</v>
      </c>
      <c r="Q19" s="5">
        <f t="shared" si="16"/>
        <v>0.73725153309547165</v>
      </c>
      <c r="R19" s="5">
        <f t="shared" si="11"/>
        <v>1</v>
      </c>
      <c r="S19" s="5">
        <f t="shared" si="12"/>
        <v>0.29243857834738146</v>
      </c>
      <c r="T19" s="5">
        <f t="shared" si="7"/>
        <v>0.29243857834738146</v>
      </c>
      <c r="V19" s="4">
        <f t="shared" si="17"/>
        <v>2571.5610692948558</v>
      </c>
      <c r="W19" s="8">
        <f t="shared" si="8"/>
        <v>1277.9870680068555</v>
      </c>
    </row>
    <row r="20" spans="1:23" x14ac:dyDescent="0.25">
      <c r="A20">
        <v>13</v>
      </c>
      <c r="C20" s="5">
        <f t="shared" si="0"/>
        <v>1.4345206859150323E-2</v>
      </c>
      <c r="D20" s="5">
        <f t="shared" si="1"/>
        <v>1.9389137037986517E-2</v>
      </c>
      <c r="E20" s="5">
        <f t="shared" si="2"/>
        <v>0.13581754320306705</v>
      </c>
      <c r="F20" s="5">
        <f t="shared" si="3"/>
        <v>0.83044811289979625</v>
      </c>
      <c r="G20" s="5">
        <f t="shared" si="9"/>
        <v>1.0000000000000002</v>
      </c>
      <c r="H20" s="5">
        <f t="shared" si="10"/>
        <v>0.19041107347768513</v>
      </c>
      <c r="I20" s="5">
        <f t="shared" si="4"/>
        <v>0.19041107347768513</v>
      </c>
      <c r="K20" s="4">
        <f t="shared" si="5"/>
        <v>1708.2588467880423</v>
      </c>
      <c r="L20" s="8">
        <f t="shared" si="6"/>
        <v>800.89840746512652</v>
      </c>
      <c r="N20" s="5">
        <f t="shared" si="13"/>
        <v>2.0299594572848322E-2</v>
      </c>
      <c r="O20" s="5">
        <f t="shared" si="14"/>
        <v>2.6919339044971919E-2</v>
      </c>
      <c r="P20" s="5">
        <f t="shared" si="15"/>
        <v>0.16533144163198993</v>
      </c>
      <c r="Q20" s="5">
        <f t="shared" si="16"/>
        <v>0.78744962475018987</v>
      </c>
      <c r="R20" s="5">
        <f t="shared" si="11"/>
        <v>1</v>
      </c>
      <c r="S20" s="5">
        <f t="shared" si="12"/>
        <v>0.2376494210771693</v>
      </c>
      <c r="T20" s="5">
        <f t="shared" si="7"/>
        <v>0.2376494210771693</v>
      </c>
      <c r="V20" s="4">
        <f t="shared" si="17"/>
        <v>2111.4335550064252</v>
      </c>
      <c r="W20" s="8">
        <f t="shared" si="8"/>
        <v>989.92244345911956</v>
      </c>
    </row>
    <row r="21" spans="1:23" x14ac:dyDescent="0.25">
      <c r="A21">
        <v>14</v>
      </c>
      <c r="C21" s="5">
        <f t="shared" si="0"/>
        <v>1.0349396644058279E-2</v>
      </c>
      <c r="D21" s="5">
        <f t="shared" si="1"/>
        <v>1.4162175359879859E-2</v>
      </c>
      <c r="E21" s="5">
        <f t="shared" si="2"/>
        <v>0.11073351358394865</v>
      </c>
      <c r="F21" s="5">
        <f t="shared" si="3"/>
        <v>0.86475491441211338</v>
      </c>
      <c r="G21" s="5">
        <f t="shared" si="9"/>
        <v>1.0000000000000002</v>
      </c>
      <c r="H21" s="5">
        <f t="shared" si="10"/>
        <v>0.15239848634404535</v>
      </c>
      <c r="I21" s="5">
        <f t="shared" si="4"/>
        <v>0.15239848634404535</v>
      </c>
      <c r="K21" s="4">
        <f t="shared" si="5"/>
        <v>1377.2109581692093</v>
      </c>
      <c r="L21" s="8">
        <f t="shared" si="6"/>
        <v>609.14173495249463</v>
      </c>
      <c r="N21" s="5">
        <f t="shared" si="13"/>
        <v>1.4645209233352509E-2</v>
      </c>
      <c r="O21" s="5">
        <f t="shared" si="14"/>
        <v>1.9739699315034505E-2</v>
      </c>
      <c r="P21" s="5">
        <f t="shared" si="15"/>
        <v>0.13633624513134326</v>
      </c>
      <c r="Q21" s="5">
        <f t="shared" si="16"/>
        <v>0.82927884632026971</v>
      </c>
      <c r="R21" s="5">
        <f t="shared" si="11"/>
        <v>1</v>
      </c>
      <c r="S21" s="5">
        <f t="shared" si="12"/>
        <v>0.19163576446477021</v>
      </c>
      <c r="T21" s="5">
        <f t="shared" si="7"/>
        <v>0.19163576446477021</v>
      </c>
      <c r="V21" s="4">
        <f t="shared" si="17"/>
        <v>1717.4911069370391</v>
      </c>
      <c r="W21" s="8">
        <f t="shared" si="8"/>
        <v>759.64797291176433</v>
      </c>
    </row>
    <row r="22" spans="1:23" x14ac:dyDescent="0.25">
      <c r="A22">
        <v>15</v>
      </c>
      <c r="C22" s="5">
        <f t="shared" si="0"/>
        <v>7.4666062293638454E-3</v>
      </c>
      <c r="D22" s="5">
        <f t="shared" si="1"/>
        <v>1.0318350729951615E-2</v>
      </c>
      <c r="E22" s="5">
        <f t="shared" si="2"/>
        <v>8.9522248311634883E-2</v>
      </c>
      <c r="F22" s="5">
        <f t="shared" si="3"/>
        <v>0.89269279472904983</v>
      </c>
      <c r="G22" s="5">
        <f t="shared" si="9"/>
        <v>1.0000000000000002</v>
      </c>
      <c r="H22" s="5">
        <f t="shared" si="10"/>
        <v>0.12127614542941857</v>
      </c>
      <c r="I22" s="5">
        <f t="shared" si="4"/>
        <v>0.12127614542941857</v>
      </c>
      <c r="K22" s="4">
        <f t="shared" si="5"/>
        <v>1102.8422773460593</v>
      </c>
      <c r="L22" s="8">
        <f t="shared" si="6"/>
        <v>460.17754983852507</v>
      </c>
      <c r="N22" s="5">
        <f t="shared" si="13"/>
        <v>1.0565834343093418E-2</v>
      </c>
      <c r="O22" s="5">
        <f t="shared" si="14"/>
        <v>1.4426434579253036E-2</v>
      </c>
      <c r="P22" s="5">
        <f t="shared" si="15"/>
        <v>0.11128536071053896</v>
      </c>
      <c r="Q22" s="5">
        <f t="shared" si="16"/>
        <v>0.86372237036711452</v>
      </c>
      <c r="R22" s="5">
        <f t="shared" si="11"/>
        <v>1</v>
      </c>
      <c r="S22" s="5">
        <f t="shared" si="12"/>
        <v>0.15349939165630783</v>
      </c>
      <c r="T22" s="5">
        <f t="shared" si="7"/>
        <v>0.15349939165630783</v>
      </c>
      <c r="V22" s="4">
        <f t="shared" si="17"/>
        <v>1385.9366020089831</v>
      </c>
      <c r="W22" s="8">
        <f t="shared" si="8"/>
        <v>578.30292041288669</v>
      </c>
    </row>
    <row r="23" spans="1:23" x14ac:dyDescent="0.25">
      <c r="A23">
        <v>16</v>
      </c>
      <c r="C23" s="5">
        <f t="shared" si="0"/>
        <v>5.3868076083818748E-3</v>
      </c>
      <c r="D23" s="5">
        <f t="shared" si="1"/>
        <v>7.5028988471209819E-3</v>
      </c>
      <c r="E23" s="5">
        <f t="shared" si="2"/>
        <v>7.1853498121568396E-2</v>
      </c>
      <c r="F23" s="5">
        <f t="shared" si="3"/>
        <v>0.91525679542292893</v>
      </c>
      <c r="G23" s="5">
        <f t="shared" si="9"/>
        <v>1.0000000000000002</v>
      </c>
      <c r="H23" s="5">
        <f t="shared" si="10"/>
        <v>9.6025204924010801E-2</v>
      </c>
      <c r="I23" s="5">
        <f t="shared" si="4"/>
        <v>9.6025204924010801E-2</v>
      </c>
      <c r="K23" s="4">
        <f t="shared" si="5"/>
        <v>877.97436665764849</v>
      </c>
      <c r="L23" s="8">
        <f t="shared" si="6"/>
        <v>345.61134662985978</v>
      </c>
      <c r="N23" s="5">
        <f t="shared" si="13"/>
        <v>7.6227559188061502E-3</v>
      </c>
      <c r="O23" s="5">
        <f t="shared" si="14"/>
        <v>1.0515593726303691E-2</v>
      </c>
      <c r="P23" s="5">
        <f t="shared" si="15"/>
        <v>9.00582438867569E-2</v>
      </c>
      <c r="Q23" s="5">
        <f t="shared" si="16"/>
        <v>0.89180340646813316</v>
      </c>
      <c r="R23" s="5">
        <f t="shared" si="11"/>
        <v>0.99999999999999989</v>
      </c>
      <c r="S23" s="5">
        <f t="shared" si="12"/>
        <v>0.12223711158237606</v>
      </c>
      <c r="T23" s="5">
        <f t="shared" si="7"/>
        <v>0.12223711158237606</v>
      </c>
      <c r="V23" s="4">
        <f t="shared" si="17"/>
        <v>1110.7283501185204</v>
      </c>
      <c r="W23" s="8">
        <f t="shared" si="8"/>
        <v>437.23408723857648</v>
      </c>
    </row>
    <row r="24" spans="1:23" x14ac:dyDescent="0.25">
      <c r="A24">
        <v>17</v>
      </c>
      <c r="C24" s="5">
        <f t="shared" si="0"/>
        <v>3.8863300565661627E-3</v>
      </c>
      <c r="D24" s="5">
        <f t="shared" si="1"/>
        <v>5.4470951471065586E-3</v>
      </c>
      <c r="E24" s="5">
        <f t="shared" si="2"/>
        <v>5.7314401430193021E-2</v>
      </c>
      <c r="F24" s="5">
        <f t="shared" si="3"/>
        <v>0.93335217336613441</v>
      </c>
      <c r="G24" s="5">
        <f t="shared" si="9"/>
        <v>1.0000000000000002</v>
      </c>
      <c r="H24" s="5">
        <f t="shared" si="10"/>
        <v>7.5695515605468486E-2</v>
      </c>
      <c r="I24" s="5">
        <f t="shared" si="4"/>
        <v>7.5695515605468486E-2</v>
      </c>
      <c r="K24" s="4">
        <f t="shared" si="5"/>
        <v>695.3898227785603</v>
      </c>
      <c r="L24" s="8">
        <f t="shared" si="6"/>
        <v>258.24303723440073</v>
      </c>
      <c r="N24" s="5">
        <f t="shared" si="13"/>
        <v>5.4994623151248517E-3</v>
      </c>
      <c r="O24" s="5">
        <f t="shared" si="14"/>
        <v>7.6490311240822268E-3</v>
      </c>
      <c r="P24" s="5">
        <f t="shared" si="15"/>
        <v>7.2346294376241557E-2</v>
      </c>
      <c r="Q24" s="5">
        <f t="shared" si="16"/>
        <v>0.91450521218455127</v>
      </c>
      <c r="R24" s="5">
        <f t="shared" si="11"/>
        <v>0.99999999999999989</v>
      </c>
      <c r="S24" s="5">
        <f t="shared" si="12"/>
        <v>9.6845690673657697E-2</v>
      </c>
      <c r="T24" s="5">
        <f t="shared" si="7"/>
        <v>9.6845690673657697E-2</v>
      </c>
      <c r="V24" s="4">
        <f t="shared" si="17"/>
        <v>884.88156122158273</v>
      </c>
      <c r="W24" s="8">
        <f t="shared" si="8"/>
        <v>328.61352651022031</v>
      </c>
    </row>
    <row r="25" spans="1:23" x14ac:dyDescent="0.25">
      <c r="A25">
        <v>18</v>
      </c>
      <c r="C25" s="5">
        <f t="shared" si="0"/>
        <v>2.8038055944430624E-3</v>
      </c>
      <c r="D25" s="5">
        <f t="shared" si="1"/>
        <v>3.9496419528634212E-3</v>
      </c>
      <c r="E25" s="5">
        <f t="shared" si="2"/>
        <v>4.5470920441793169E-2</v>
      </c>
      <c r="F25" s="5">
        <f t="shared" si="3"/>
        <v>0.94777563201090054</v>
      </c>
      <c r="G25" s="5">
        <f t="shared" si="9"/>
        <v>1.0000000000000002</v>
      </c>
      <c r="H25" s="5">
        <f t="shared" si="10"/>
        <v>5.9436097311482722E-2</v>
      </c>
      <c r="I25" s="5">
        <f t="shared" si="4"/>
        <v>5.9436097311482722E-2</v>
      </c>
      <c r="K25" s="4">
        <f t="shared" si="5"/>
        <v>548.30528615682431</v>
      </c>
      <c r="L25" s="8">
        <f t="shared" si="6"/>
        <v>192.09535264836506</v>
      </c>
      <c r="N25" s="5">
        <f t="shared" si="13"/>
        <v>3.9676051650641229E-3</v>
      </c>
      <c r="O25" s="5">
        <f t="shared" si="14"/>
        <v>5.5547486878920211E-3</v>
      </c>
      <c r="P25" s="5">
        <f t="shared" si="15"/>
        <v>5.7751080501690838E-2</v>
      </c>
      <c r="Q25" s="5">
        <f t="shared" si="16"/>
        <v>0.93272656564535295</v>
      </c>
      <c r="R25" s="5">
        <f t="shared" si="11"/>
        <v>0.99999999999999989</v>
      </c>
      <c r="S25" s="5">
        <f t="shared" si="12"/>
        <v>7.6384111085047821E-2</v>
      </c>
      <c r="T25" s="5">
        <f t="shared" si="7"/>
        <v>7.6384111085047821E-2</v>
      </c>
      <c r="V25" s="4">
        <f t="shared" si="17"/>
        <v>701.30067836897842</v>
      </c>
      <c r="W25" s="8">
        <f t="shared" si="8"/>
        <v>245.69633838127069</v>
      </c>
    </row>
    <row r="26" spans="1:23" x14ac:dyDescent="0.25">
      <c r="A26">
        <v>19</v>
      </c>
      <c r="C26" s="5">
        <f t="shared" si="0"/>
        <v>2.0228147627729363E-3</v>
      </c>
      <c r="D26" s="5">
        <f t="shared" si="1"/>
        <v>2.8609976011212766E-3</v>
      </c>
      <c r="E26" s="5">
        <f t="shared" si="2"/>
        <v>3.5904742484512218E-2</v>
      </c>
      <c r="F26" s="5">
        <f t="shared" si="3"/>
        <v>0.95921144515159373</v>
      </c>
      <c r="G26" s="5">
        <f t="shared" si="9"/>
        <v>1.0000000000000002</v>
      </c>
      <c r="H26" s="5">
        <f t="shared" si="10"/>
        <v>4.6506461418753031E-2</v>
      </c>
      <c r="I26" s="5">
        <f t="shared" si="4"/>
        <v>4.6506461418753031E-2</v>
      </c>
      <c r="K26" s="4">
        <f t="shared" si="5"/>
        <v>430.61698566749573</v>
      </c>
      <c r="L26" s="8">
        <f t="shared" si="6"/>
        <v>142.32451630507612</v>
      </c>
      <c r="N26" s="5">
        <f t="shared" si="13"/>
        <v>2.8624417886362269E-3</v>
      </c>
      <c r="O26" s="5">
        <f t="shared" si="14"/>
        <v>4.028602399091038E-3</v>
      </c>
      <c r="P26" s="5">
        <f t="shared" si="15"/>
        <v>4.5847743730607265E-2</v>
      </c>
      <c r="Q26" s="5">
        <f t="shared" si="16"/>
        <v>0.94726121208166536</v>
      </c>
      <c r="R26" s="5">
        <f t="shared" si="11"/>
        <v>0.99999999999999989</v>
      </c>
      <c r="S26" s="5">
        <f t="shared" si="12"/>
        <v>6.0006111136490736E-2</v>
      </c>
      <c r="T26" s="5">
        <f t="shared" si="7"/>
        <v>6.0006111136490736E-2</v>
      </c>
      <c r="V26" s="4">
        <f t="shared" si="17"/>
        <v>553.27377075105301</v>
      </c>
      <c r="W26" s="8">
        <f t="shared" si="8"/>
        <v>182.86417960120204</v>
      </c>
    </row>
    <row r="27" spans="1:23" x14ac:dyDescent="0.25">
      <c r="A27">
        <v>20</v>
      </c>
      <c r="C27" s="10">
        <f t="shared" si="0"/>
        <v>1.4593663599936238E-3</v>
      </c>
      <c r="D27" s="10">
        <f t="shared" si="1"/>
        <v>2.0707675230729108E-3</v>
      </c>
      <c r="E27" s="10">
        <f t="shared" si="2"/>
        <v>2.8233422364638772E-2</v>
      </c>
      <c r="F27" s="10">
        <f t="shared" si="3"/>
        <v>0.9682364437522949</v>
      </c>
      <c r="G27" s="5">
        <f t="shared" si="9"/>
        <v>1.0000000000000002</v>
      </c>
      <c r="H27" s="5">
        <f t="shared" si="10"/>
        <v>3.6276055548055887E-2</v>
      </c>
      <c r="I27" s="5">
        <f t="shared" si="4"/>
        <v>3.6276055548055887E-2</v>
      </c>
      <c r="K27" s="4">
        <f t="shared" si="5"/>
        <v>336.99781253913505</v>
      </c>
      <c r="L27" s="8">
        <f t="shared" si="6"/>
        <v>105.07751089997284</v>
      </c>
      <c r="N27" s="5">
        <f t="shared" si="13"/>
        <v>2.0651180378223298E-3</v>
      </c>
      <c r="O27" s="5">
        <f t="shared" si="14"/>
        <v>2.9187154712327708E-3</v>
      </c>
      <c r="P27" s="5">
        <f t="shared" si="15"/>
        <v>3.6223472944654514E-2</v>
      </c>
      <c r="Q27" s="5">
        <f t="shared" si="16"/>
        <v>0.95879269354629026</v>
      </c>
      <c r="R27" s="5">
        <f t="shared" si="11"/>
        <v>0.99999999999999989</v>
      </c>
      <c r="S27" s="5">
        <f t="shared" si="12"/>
        <v>4.6973047186022063E-2</v>
      </c>
      <c r="T27" s="5">
        <f t="shared" si="7"/>
        <v>4.6973047186022063E-2</v>
      </c>
      <c r="V27" s="4">
        <f t="shared" si="17"/>
        <v>434.73444984449446</v>
      </c>
      <c r="W27" s="8">
        <f t="shared" si="8"/>
        <v>135.5522564017347</v>
      </c>
    </row>
    <row r="29" spans="1:23" x14ac:dyDescent="0.25">
      <c r="G29" t="s">
        <v>65</v>
      </c>
      <c r="H29" s="6">
        <f>SUM(H8:H27)</f>
        <v>8.475324867717033</v>
      </c>
      <c r="I29" s="6">
        <f>SUM(I8:I27)</f>
        <v>8.475324867717033</v>
      </c>
      <c r="K29" s="12">
        <f>SUM(K8:K27)</f>
        <v>63745.212637365978</v>
      </c>
      <c r="L29" s="12">
        <f>SUM(L8:L27)</f>
        <v>44663.453563696668</v>
      </c>
      <c r="S29" s="6">
        <f>SUM(S8:S27)</f>
        <v>9.4167852384166153</v>
      </c>
      <c r="T29" s="6">
        <f>SUM(T8:T27)</f>
        <v>9.4167852384166153</v>
      </c>
      <c r="V29" s="12">
        <f>SUM(V8:V27)</f>
        <v>72573.137979871681</v>
      </c>
      <c r="W29" s="12">
        <f>SUM(W8:W27)</f>
        <v>50599.843389464513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51"/>
  <sheetViews>
    <sheetView workbookViewId="0">
      <selection activeCell="A2" sqref="A2"/>
    </sheetView>
  </sheetViews>
  <sheetFormatPr baseColWidth="10" defaultColWidth="8.88671875" defaultRowHeight="13.2" x14ac:dyDescent="0.25"/>
  <cols>
    <col min="1" max="1" width="15.5546875" customWidth="1"/>
  </cols>
  <sheetData>
    <row r="1" spans="1:10" ht="15.6" x14ac:dyDescent="0.3">
      <c r="A1" s="1" t="s">
        <v>74</v>
      </c>
    </row>
    <row r="3" spans="1:10" x14ac:dyDescent="0.25">
      <c r="B3" t="s">
        <v>68</v>
      </c>
      <c r="D3" t="s">
        <v>69</v>
      </c>
      <c r="F3" t="s">
        <v>71</v>
      </c>
      <c r="I3" t="s">
        <v>75</v>
      </c>
    </row>
    <row r="4" spans="1:10" x14ac:dyDescent="0.25">
      <c r="B4" t="s">
        <v>70</v>
      </c>
      <c r="C4" t="s">
        <v>67</v>
      </c>
      <c r="D4" t="str">
        <f>B4</f>
        <v>LYs</v>
      </c>
      <c r="E4" t="str">
        <f>C4</f>
        <v>Cost</v>
      </c>
      <c r="F4" t="s">
        <v>72</v>
      </c>
      <c r="G4" t="s">
        <v>73</v>
      </c>
      <c r="I4" t="s">
        <v>76</v>
      </c>
    </row>
    <row r="5" spans="1:10" x14ac:dyDescent="0.25">
      <c r="A5" s="11" t="s">
        <v>80</v>
      </c>
      <c r="B5" s="6">
        <f>'Markov model'!I29</f>
        <v>8.475324867717033</v>
      </c>
      <c r="C5" s="12">
        <f>'Markov model'!L29</f>
        <v>44663.453563696668</v>
      </c>
      <c r="D5" s="6">
        <f>'Markov model'!T29</f>
        <v>9.4167852384166153</v>
      </c>
      <c r="E5" s="12">
        <f>'Markov model'!W29</f>
        <v>50599.843389464513</v>
      </c>
      <c r="F5" s="6">
        <f>D5-B5</f>
        <v>0.94146037069958233</v>
      </c>
      <c r="G5" s="12">
        <f>E5-C5</f>
        <v>5936.3898257678447</v>
      </c>
      <c r="I5" s="12">
        <f>G5/F5</f>
        <v>6305.5121707954841</v>
      </c>
    </row>
    <row r="6" spans="1:10" x14ac:dyDescent="0.25">
      <c r="A6" s="11"/>
    </row>
    <row r="7" spans="1:10" x14ac:dyDescent="0.25">
      <c r="A7" s="11"/>
    </row>
    <row r="8" spans="1:10" x14ac:dyDescent="0.25">
      <c r="B8" s="6"/>
      <c r="C8" s="12"/>
      <c r="D8" s="6"/>
      <c r="E8" s="12"/>
      <c r="F8" s="6"/>
      <c r="G8" s="12"/>
      <c r="I8" s="6"/>
      <c r="J8" s="7"/>
    </row>
    <row r="9" spans="1:10" x14ac:dyDescent="0.25">
      <c r="B9" s="6"/>
      <c r="C9" s="12"/>
      <c r="D9" s="6"/>
      <c r="E9" s="12"/>
      <c r="F9" s="6"/>
      <c r="G9" s="12"/>
      <c r="I9" s="6"/>
      <c r="J9" s="7"/>
    </row>
    <row r="10" spans="1:10" x14ac:dyDescent="0.25">
      <c r="B10" s="6"/>
      <c r="C10" s="12"/>
      <c r="D10" s="6"/>
      <c r="E10" s="12"/>
      <c r="F10" s="6"/>
      <c r="G10" s="12"/>
    </row>
    <row r="11" spans="1:10" x14ac:dyDescent="0.25">
      <c r="B11" s="6"/>
      <c r="C11" s="12"/>
      <c r="D11" s="6"/>
      <c r="E11" s="12"/>
      <c r="F11" s="6"/>
      <c r="G11" s="12"/>
    </row>
    <row r="12" spans="1:10" x14ac:dyDescent="0.25">
      <c r="B12" s="6"/>
      <c r="C12" s="12"/>
      <c r="D12" s="6"/>
      <c r="E12" s="12"/>
      <c r="F12" s="6"/>
      <c r="G12" s="12"/>
    </row>
    <row r="13" spans="1:10" x14ac:dyDescent="0.25">
      <c r="B13" s="6"/>
      <c r="C13" s="12"/>
      <c r="D13" s="6"/>
      <c r="E13" s="12"/>
      <c r="F13" s="6"/>
      <c r="G13" s="12"/>
    </row>
    <row r="14" spans="1:10" x14ac:dyDescent="0.25">
      <c r="B14" s="6"/>
      <c r="C14" s="12"/>
      <c r="D14" s="6"/>
      <c r="E14" s="12"/>
      <c r="F14" s="6"/>
      <c r="G14" s="12"/>
    </row>
    <row r="15" spans="1:10" x14ac:dyDescent="0.25">
      <c r="B15" s="6"/>
      <c r="C15" s="12"/>
      <c r="D15" s="6"/>
      <c r="E15" s="12"/>
      <c r="F15" s="6"/>
      <c r="G15" s="12"/>
    </row>
    <row r="16" spans="1:10" x14ac:dyDescent="0.25">
      <c r="B16" s="6"/>
      <c r="C16" s="12"/>
      <c r="D16" s="6"/>
      <c r="E16" s="12"/>
      <c r="F16" s="6"/>
      <c r="G16" s="12"/>
    </row>
    <row r="17" spans="2:7" x14ac:dyDescent="0.25">
      <c r="B17" s="6"/>
      <c r="C17" s="12"/>
      <c r="D17" s="6"/>
      <c r="E17" s="12"/>
      <c r="F17" s="6"/>
      <c r="G17" s="12"/>
    </row>
    <row r="18" spans="2:7" x14ac:dyDescent="0.25">
      <c r="B18" s="6"/>
      <c r="C18" s="12"/>
      <c r="D18" s="6"/>
      <c r="E18" s="12"/>
      <c r="F18" s="6"/>
      <c r="G18" s="12"/>
    </row>
    <row r="19" spans="2:7" x14ac:dyDescent="0.25">
      <c r="B19" s="6"/>
      <c r="C19" s="12"/>
      <c r="D19" s="6"/>
      <c r="E19" s="12"/>
      <c r="F19" s="6"/>
      <c r="G19" s="12"/>
    </row>
    <row r="20" spans="2:7" x14ac:dyDescent="0.25">
      <c r="B20" s="6"/>
      <c r="C20" s="12"/>
      <c r="D20" s="6"/>
      <c r="E20" s="12"/>
      <c r="F20" s="6"/>
      <c r="G20" s="12"/>
    </row>
    <row r="21" spans="2:7" x14ac:dyDescent="0.25">
      <c r="B21" s="6"/>
      <c r="C21" s="12"/>
      <c r="D21" s="6"/>
      <c r="E21" s="12"/>
      <c r="F21" s="6"/>
      <c r="G21" s="12"/>
    </row>
    <row r="22" spans="2:7" x14ac:dyDescent="0.25">
      <c r="B22" s="6"/>
      <c r="C22" s="12"/>
      <c r="D22" s="6"/>
      <c r="E22" s="12"/>
      <c r="F22" s="6"/>
      <c r="G22" s="12"/>
    </row>
    <row r="23" spans="2:7" x14ac:dyDescent="0.25">
      <c r="B23" s="6"/>
      <c r="C23" s="12"/>
      <c r="D23" s="6"/>
      <c r="E23" s="12"/>
      <c r="F23" s="6"/>
      <c r="G23" s="12"/>
    </row>
    <row r="24" spans="2:7" x14ac:dyDescent="0.25">
      <c r="B24" s="6"/>
      <c r="C24" s="12"/>
      <c r="D24" s="6"/>
      <c r="E24" s="12"/>
      <c r="F24" s="6"/>
      <c r="G24" s="12"/>
    </row>
    <row r="25" spans="2:7" x14ac:dyDescent="0.25">
      <c r="B25" s="6"/>
      <c r="C25" s="12"/>
      <c r="D25" s="6"/>
      <c r="E25" s="12"/>
      <c r="F25" s="6"/>
      <c r="G25" s="12"/>
    </row>
    <row r="26" spans="2:7" x14ac:dyDescent="0.25">
      <c r="B26" s="6"/>
      <c r="C26" s="12"/>
      <c r="D26" s="6"/>
      <c r="E26" s="12"/>
      <c r="F26" s="6"/>
      <c r="G26" s="12"/>
    </row>
    <row r="27" spans="2:7" x14ac:dyDescent="0.25">
      <c r="B27" s="6"/>
      <c r="C27" s="12"/>
      <c r="D27" s="6"/>
      <c r="E27" s="12"/>
      <c r="F27" s="6"/>
      <c r="G27" s="12"/>
    </row>
    <row r="28" spans="2:7" x14ac:dyDescent="0.25">
      <c r="B28" s="6"/>
      <c r="C28" s="12"/>
      <c r="D28" s="6"/>
      <c r="E28" s="12"/>
      <c r="F28" s="6"/>
      <c r="G28" s="12"/>
    </row>
    <row r="29" spans="2:7" x14ac:dyDescent="0.25">
      <c r="B29" s="6"/>
      <c r="C29" s="12"/>
      <c r="D29" s="6"/>
      <c r="E29" s="12"/>
      <c r="F29" s="6"/>
      <c r="G29" s="12"/>
    </row>
    <row r="30" spans="2:7" x14ac:dyDescent="0.25">
      <c r="B30" s="6"/>
      <c r="C30" s="12"/>
      <c r="D30" s="6"/>
      <c r="E30" s="12"/>
      <c r="F30" s="6"/>
      <c r="G30" s="12"/>
    </row>
    <row r="31" spans="2:7" x14ac:dyDescent="0.25">
      <c r="B31" s="6"/>
      <c r="C31" s="12"/>
      <c r="D31" s="6"/>
      <c r="E31" s="12"/>
      <c r="F31" s="6"/>
      <c r="G31" s="12"/>
    </row>
    <row r="32" spans="2:7" x14ac:dyDescent="0.25">
      <c r="B32" s="6"/>
      <c r="C32" s="12"/>
      <c r="D32" s="6"/>
      <c r="E32" s="12"/>
      <c r="F32" s="6"/>
      <c r="G32" s="12"/>
    </row>
    <row r="33" spans="2:7" x14ac:dyDescent="0.25">
      <c r="B33" s="6"/>
      <c r="C33" s="12"/>
      <c r="D33" s="6"/>
      <c r="E33" s="12"/>
      <c r="F33" s="6"/>
      <c r="G33" s="12"/>
    </row>
    <row r="34" spans="2:7" x14ac:dyDescent="0.25">
      <c r="B34" s="6"/>
      <c r="C34" s="12"/>
      <c r="D34" s="6"/>
      <c r="E34" s="12"/>
      <c r="F34" s="6"/>
      <c r="G34" s="12"/>
    </row>
    <row r="35" spans="2:7" x14ac:dyDescent="0.25">
      <c r="B35" s="6"/>
      <c r="C35" s="12"/>
      <c r="D35" s="6"/>
      <c r="E35" s="12"/>
      <c r="F35" s="6"/>
      <c r="G35" s="12"/>
    </row>
    <row r="36" spans="2:7" x14ac:dyDescent="0.25">
      <c r="B36" s="6"/>
      <c r="C36" s="12"/>
      <c r="D36" s="6"/>
      <c r="E36" s="12"/>
      <c r="F36" s="6"/>
      <c r="G36" s="12"/>
    </row>
    <row r="37" spans="2:7" x14ac:dyDescent="0.25">
      <c r="B37" s="6"/>
      <c r="C37" s="12"/>
      <c r="D37" s="6"/>
      <c r="E37" s="12"/>
      <c r="F37" s="6"/>
      <c r="G37" s="12"/>
    </row>
    <row r="38" spans="2:7" x14ac:dyDescent="0.25">
      <c r="B38" s="6"/>
      <c r="C38" s="12"/>
      <c r="D38" s="6"/>
      <c r="E38" s="12"/>
      <c r="F38" s="6"/>
      <c r="G38" s="12"/>
    </row>
    <row r="39" spans="2:7" x14ac:dyDescent="0.25">
      <c r="B39" s="6"/>
      <c r="C39" s="12"/>
      <c r="D39" s="6"/>
      <c r="E39" s="12"/>
      <c r="F39" s="6"/>
      <c r="G39" s="12"/>
    </row>
    <row r="40" spans="2:7" x14ac:dyDescent="0.25">
      <c r="B40" s="6"/>
      <c r="C40" s="12"/>
      <c r="D40" s="6"/>
      <c r="E40" s="12"/>
      <c r="F40" s="6"/>
      <c r="G40" s="12"/>
    </row>
    <row r="41" spans="2:7" x14ac:dyDescent="0.25">
      <c r="B41" s="6"/>
      <c r="C41" s="12"/>
      <c r="D41" s="6"/>
      <c r="E41" s="12"/>
      <c r="F41" s="6"/>
      <c r="G41" s="12"/>
    </row>
    <row r="42" spans="2:7" x14ac:dyDescent="0.25">
      <c r="B42" s="6"/>
      <c r="C42" s="12"/>
      <c r="D42" s="6"/>
      <c r="E42" s="12"/>
      <c r="F42" s="6"/>
      <c r="G42" s="12"/>
    </row>
    <row r="43" spans="2:7" x14ac:dyDescent="0.25">
      <c r="B43" s="6"/>
      <c r="C43" s="12"/>
      <c r="D43" s="6"/>
      <c r="E43" s="12"/>
      <c r="F43" s="6"/>
      <c r="G43" s="12"/>
    </row>
    <row r="44" spans="2:7" x14ac:dyDescent="0.25">
      <c r="B44" s="6"/>
      <c r="C44" s="12"/>
      <c r="D44" s="6"/>
      <c r="E44" s="12"/>
      <c r="F44" s="6"/>
      <c r="G44" s="12"/>
    </row>
    <row r="45" spans="2:7" x14ac:dyDescent="0.25">
      <c r="B45" s="6"/>
      <c r="C45" s="12"/>
      <c r="D45" s="6"/>
      <c r="E45" s="12"/>
      <c r="F45" s="6"/>
      <c r="G45" s="12"/>
    </row>
    <row r="46" spans="2:7" x14ac:dyDescent="0.25">
      <c r="B46" s="6"/>
      <c r="C46" s="12"/>
      <c r="D46" s="6"/>
      <c r="E46" s="12"/>
      <c r="F46" s="6"/>
      <c r="G46" s="12"/>
    </row>
    <row r="47" spans="2:7" x14ac:dyDescent="0.25">
      <c r="B47" s="6"/>
      <c r="C47" s="12"/>
      <c r="D47" s="6"/>
      <c r="E47" s="12"/>
      <c r="F47" s="6"/>
      <c r="G47" s="12"/>
    </row>
    <row r="48" spans="2:7" x14ac:dyDescent="0.25">
      <c r="B48" s="6"/>
      <c r="C48" s="12"/>
      <c r="D48" s="6"/>
      <c r="E48" s="12"/>
      <c r="F48" s="6"/>
      <c r="G48" s="12"/>
    </row>
    <row r="49" spans="2:7" x14ac:dyDescent="0.25">
      <c r="B49" s="6"/>
      <c r="C49" s="12"/>
      <c r="D49" s="6"/>
      <c r="E49" s="12"/>
      <c r="F49" s="6"/>
      <c r="G49" s="12"/>
    </row>
    <row r="50" spans="2:7" x14ac:dyDescent="0.25">
      <c r="B50" s="6"/>
      <c r="C50" s="12"/>
      <c r="D50" s="6"/>
      <c r="E50" s="12"/>
      <c r="F50" s="6"/>
      <c r="G50" s="12"/>
    </row>
    <row r="51" spans="2:7" x14ac:dyDescent="0.25">
      <c r="B51" s="6"/>
      <c r="C51" s="12"/>
      <c r="D51" s="6"/>
      <c r="E51" s="12"/>
      <c r="F51" s="6"/>
      <c r="G51" s="12"/>
    </row>
    <row r="52" spans="2:7" x14ac:dyDescent="0.25">
      <c r="B52" s="6"/>
      <c r="C52" s="12"/>
      <c r="D52" s="6"/>
      <c r="E52" s="12"/>
      <c r="F52" s="6"/>
      <c r="G52" s="12"/>
    </row>
    <row r="53" spans="2:7" x14ac:dyDescent="0.25">
      <c r="B53" s="6"/>
      <c r="C53" s="12"/>
      <c r="D53" s="6"/>
      <c r="E53" s="12"/>
      <c r="F53" s="6"/>
      <c r="G53" s="12"/>
    </row>
    <row r="54" spans="2:7" x14ac:dyDescent="0.25">
      <c r="B54" s="6"/>
      <c r="C54" s="12"/>
      <c r="D54" s="6"/>
      <c r="E54" s="12"/>
      <c r="F54" s="6"/>
      <c r="G54" s="12"/>
    </row>
    <row r="55" spans="2:7" x14ac:dyDescent="0.25">
      <c r="B55" s="6"/>
      <c r="C55" s="12"/>
      <c r="D55" s="6"/>
      <c r="E55" s="12"/>
      <c r="F55" s="6"/>
      <c r="G55" s="12"/>
    </row>
    <row r="56" spans="2:7" x14ac:dyDescent="0.25">
      <c r="B56" s="6"/>
      <c r="C56" s="12"/>
      <c r="D56" s="6"/>
      <c r="E56" s="12"/>
      <c r="F56" s="6"/>
      <c r="G56" s="12"/>
    </row>
    <row r="57" spans="2:7" x14ac:dyDescent="0.25">
      <c r="B57" s="6"/>
      <c r="C57" s="12"/>
      <c r="D57" s="6"/>
      <c r="E57" s="12"/>
      <c r="F57" s="6"/>
      <c r="G57" s="12"/>
    </row>
    <row r="58" spans="2:7" x14ac:dyDescent="0.25">
      <c r="B58" s="6"/>
      <c r="C58" s="12"/>
      <c r="D58" s="6"/>
      <c r="E58" s="12"/>
      <c r="F58" s="6"/>
      <c r="G58" s="12"/>
    </row>
    <row r="59" spans="2:7" x14ac:dyDescent="0.25">
      <c r="B59" s="6"/>
      <c r="C59" s="12"/>
      <c r="D59" s="6"/>
      <c r="E59" s="12"/>
      <c r="F59" s="6"/>
      <c r="G59" s="12"/>
    </row>
    <row r="60" spans="2:7" x14ac:dyDescent="0.25">
      <c r="B60" s="6"/>
      <c r="C60" s="12"/>
      <c r="D60" s="6"/>
      <c r="E60" s="12"/>
      <c r="F60" s="6"/>
      <c r="G60" s="12"/>
    </row>
    <row r="61" spans="2:7" x14ac:dyDescent="0.25">
      <c r="B61" s="6"/>
      <c r="C61" s="12"/>
      <c r="D61" s="6"/>
      <c r="E61" s="12"/>
      <c r="F61" s="6"/>
      <c r="G61" s="12"/>
    </row>
    <row r="62" spans="2:7" x14ac:dyDescent="0.25">
      <c r="B62" s="6"/>
      <c r="C62" s="12"/>
      <c r="D62" s="6"/>
      <c r="E62" s="12"/>
      <c r="F62" s="6"/>
      <c r="G62" s="12"/>
    </row>
    <row r="63" spans="2:7" x14ac:dyDescent="0.25">
      <c r="B63" s="6"/>
      <c r="C63" s="12"/>
      <c r="D63" s="6"/>
      <c r="E63" s="12"/>
      <c r="F63" s="6"/>
      <c r="G63" s="12"/>
    </row>
    <row r="64" spans="2:7" x14ac:dyDescent="0.25">
      <c r="B64" s="6"/>
      <c r="C64" s="12"/>
      <c r="D64" s="6"/>
      <c r="E64" s="12"/>
      <c r="F64" s="6"/>
      <c r="G64" s="12"/>
    </row>
    <row r="65" spans="2:7" x14ac:dyDescent="0.25">
      <c r="B65" s="6"/>
      <c r="C65" s="12"/>
      <c r="D65" s="6"/>
      <c r="E65" s="12"/>
      <c r="F65" s="6"/>
      <c r="G65" s="12"/>
    </row>
    <row r="66" spans="2:7" x14ac:dyDescent="0.25">
      <c r="B66" s="6"/>
      <c r="C66" s="12"/>
      <c r="D66" s="6"/>
      <c r="E66" s="12"/>
      <c r="F66" s="6"/>
      <c r="G66" s="12"/>
    </row>
    <row r="67" spans="2:7" x14ac:dyDescent="0.25">
      <c r="B67" s="6"/>
      <c r="C67" s="12"/>
      <c r="D67" s="6"/>
      <c r="E67" s="12"/>
      <c r="F67" s="6"/>
      <c r="G67" s="12"/>
    </row>
    <row r="68" spans="2:7" x14ac:dyDescent="0.25">
      <c r="B68" s="6"/>
      <c r="C68" s="12"/>
      <c r="D68" s="6"/>
      <c r="E68" s="12"/>
      <c r="F68" s="6"/>
      <c r="G68" s="12"/>
    </row>
    <row r="69" spans="2:7" x14ac:dyDescent="0.25">
      <c r="B69" s="6"/>
      <c r="C69" s="12"/>
      <c r="D69" s="6"/>
      <c r="E69" s="12"/>
      <c r="F69" s="6"/>
      <c r="G69" s="12"/>
    </row>
    <row r="70" spans="2:7" x14ac:dyDescent="0.25">
      <c r="B70" s="6"/>
      <c r="C70" s="12"/>
      <c r="D70" s="6"/>
      <c r="E70" s="12"/>
      <c r="F70" s="6"/>
      <c r="G70" s="12"/>
    </row>
    <row r="71" spans="2:7" x14ac:dyDescent="0.25">
      <c r="B71" s="6"/>
      <c r="C71" s="12"/>
      <c r="D71" s="6"/>
      <c r="E71" s="12"/>
      <c r="F71" s="6"/>
      <c r="G71" s="12"/>
    </row>
    <row r="72" spans="2:7" x14ac:dyDescent="0.25">
      <c r="B72" s="6"/>
      <c r="C72" s="12"/>
      <c r="D72" s="6"/>
      <c r="E72" s="12"/>
      <c r="F72" s="6"/>
      <c r="G72" s="12"/>
    </row>
    <row r="73" spans="2:7" x14ac:dyDescent="0.25">
      <c r="B73" s="6"/>
      <c r="C73" s="12"/>
      <c r="D73" s="6"/>
      <c r="E73" s="12"/>
      <c r="F73" s="6"/>
      <c r="G73" s="12"/>
    </row>
    <row r="74" spans="2:7" x14ac:dyDescent="0.25">
      <c r="B74" s="6"/>
      <c r="C74" s="12"/>
      <c r="D74" s="6"/>
      <c r="E74" s="12"/>
      <c r="F74" s="6"/>
      <c r="G74" s="12"/>
    </row>
    <row r="75" spans="2:7" x14ac:dyDescent="0.25">
      <c r="B75" s="6"/>
      <c r="C75" s="12"/>
      <c r="D75" s="6"/>
      <c r="E75" s="12"/>
      <c r="F75" s="6"/>
      <c r="G75" s="12"/>
    </row>
    <row r="76" spans="2:7" x14ac:dyDescent="0.25">
      <c r="B76" s="6"/>
      <c r="C76" s="12"/>
      <c r="D76" s="6"/>
      <c r="E76" s="12"/>
      <c r="F76" s="6"/>
      <c r="G76" s="12"/>
    </row>
    <row r="77" spans="2:7" x14ac:dyDescent="0.25">
      <c r="B77" s="6"/>
      <c r="C77" s="12"/>
      <c r="D77" s="6"/>
      <c r="E77" s="12"/>
      <c r="F77" s="6"/>
      <c r="G77" s="12"/>
    </row>
    <row r="78" spans="2:7" x14ac:dyDescent="0.25">
      <c r="B78" s="6"/>
      <c r="C78" s="12"/>
      <c r="D78" s="6"/>
      <c r="E78" s="12"/>
      <c r="F78" s="6"/>
      <c r="G78" s="12"/>
    </row>
    <row r="79" spans="2:7" x14ac:dyDescent="0.25">
      <c r="B79" s="6"/>
      <c r="C79" s="12"/>
      <c r="D79" s="6"/>
      <c r="E79" s="12"/>
      <c r="F79" s="6"/>
      <c r="G79" s="12"/>
    </row>
    <row r="80" spans="2:7" x14ac:dyDescent="0.25">
      <c r="B80" s="6"/>
      <c r="C80" s="12"/>
      <c r="D80" s="6"/>
      <c r="E80" s="12"/>
      <c r="F80" s="6"/>
      <c r="G80" s="12"/>
    </row>
    <row r="81" spans="2:7" x14ac:dyDescent="0.25">
      <c r="B81" s="6"/>
      <c r="C81" s="12"/>
      <c r="D81" s="6"/>
      <c r="E81" s="12"/>
      <c r="F81" s="6"/>
      <c r="G81" s="12"/>
    </row>
    <row r="82" spans="2:7" x14ac:dyDescent="0.25">
      <c r="B82" s="6"/>
      <c r="C82" s="12"/>
      <c r="D82" s="6"/>
      <c r="E82" s="12"/>
      <c r="F82" s="6"/>
      <c r="G82" s="12"/>
    </row>
    <row r="83" spans="2:7" x14ac:dyDescent="0.25">
      <c r="B83" s="6"/>
      <c r="C83" s="12"/>
      <c r="D83" s="6"/>
      <c r="E83" s="12"/>
      <c r="F83" s="6"/>
      <c r="G83" s="12"/>
    </row>
    <row r="84" spans="2:7" x14ac:dyDescent="0.25">
      <c r="B84" s="6"/>
      <c r="C84" s="12"/>
      <c r="D84" s="6"/>
      <c r="E84" s="12"/>
      <c r="F84" s="6"/>
      <c r="G84" s="12"/>
    </row>
    <row r="85" spans="2:7" x14ac:dyDescent="0.25">
      <c r="B85" s="6"/>
      <c r="C85" s="12"/>
      <c r="D85" s="6"/>
      <c r="E85" s="12"/>
      <c r="F85" s="6"/>
      <c r="G85" s="12"/>
    </row>
    <row r="86" spans="2:7" x14ac:dyDescent="0.25">
      <c r="B86" s="6"/>
      <c r="C86" s="12"/>
      <c r="D86" s="6"/>
      <c r="E86" s="12"/>
      <c r="F86" s="6"/>
      <c r="G86" s="12"/>
    </row>
    <row r="87" spans="2:7" x14ac:dyDescent="0.25">
      <c r="B87" s="6"/>
      <c r="C87" s="12"/>
      <c r="D87" s="6"/>
      <c r="E87" s="12"/>
      <c r="F87" s="6"/>
      <c r="G87" s="12"/>
    </row>
    <row r="88" spans="2:7" x14ac:dyDescent="0.25">
      <c r="B88" s="6"/>
      <c r="C88" s="12"/>
      <c r="D88" s="6"/>
      <c r="E88" s="12"/>
      <c r="F88" s="6"/>
      <c r="G88" s="12"/>
    </row>
    <row r="89" spans="2:7" x14ac:dyDescent="0.25">
      <c r="B89" s="6"/>
      <c r="C89" s="12"/>
      <c r="D89" s="6"/>
      <c r="E89" s="12"/>
      <c r="F89" s="6"/>
      <c r="G89" s="12"/>
    </row>
    <row r="90" spans="2:7" x14ac:dyDescent="0.25">
      <c r="B90" s="6"/>
      <c r="C90" s="12"/>
      <c r="D90" s="6"/>
      <c r="E90" s="12"/>
      <c r="F90" s="6"/>
      <c r="G90" s="12"/>
    </row>
    <row r="91" spans="2:7" x14ac:dyDescent="0.25">
      <c r="B91" s="6"/>
      <c r="C91" s="12"/>
      <c r="D91" s="6"/>
      <c r="E91" s="12"/>
      <c r="F91" s="6"/>
      <c r="G91" s="12"/>
    </row>
    <row r="92" spans="2:7" x14ac:dyDescent="0.25">
      <c r="B92" s="6"/>
      <c r="C92" s="12"/>
      <c r="D92" s="6"/>
      <c r="E92" s="12"/>
      <c r="F92" s="6"/>
      <c r="G92" s="12"/>
    </row>
    <row r="93" spans="2:7" x14ac:dyDescent="0.25">
      <c r="B93" s="6"/>
      <c r="C93" s="12"/>
      <c r="D93" s="6"/>
      <c r="E93" s="12"/>
      <c r="F93" s="6"/>
      <c r="G93" s="12"/>
    </row>
    <row r="94" spans="2:7" x14ac:dyDescent="0.25">
      <c r="B94" s="6"/>
      <c r="C94" s="12"/>
      <c r="D94" s="6"/>
      <c r="E94" s="12"/>
      <c r="F94" s="6"/>
      <c r="G94" s="12"/>
    </row>
    <row r="95" spans="2:7" x14ac:dyDescent="0.25">
      <c r="B95" s="6"/>
      <c r="C95" s="12"/>
      <c r="D95" s="6"/>
      <c r="E95" s="12"/>
      <c r="F95" s="6"/>
      <c r="G95" s="12"/>
    </row>
    <row r="96" spans="2:7" x14ac:dyDescent="0.25">
      <c r="B96" s="6"/>
      <c r="C96" s="12"/>
      <c r="D96" s="6"/>
      <c r="E96" s="12"/>
      <c r="F96" s="6"/>
      <c r="G96" s="12"/>
    </row>
    <row r="97" spans="2:7" x14ac:dyDescent="0.25">
      <c r="B97" s="6"/>
      <c r="C97" s="12"/>
      <c r="D97" s="6"/>
      <c r="E97" s="12"/>
      <c r="F97" s="6"/>
      <c r="G97" s="12"/>
    </row>
    <row r="98" spans="2:7" x14ac:dyDescent="0.25">
      <c r="B98" s="6"/>
      <c r="C98" s="12"/>
      <c r="D98" s="6"/>
      <c r="E98" s="12"/>
      <c r="F98" s="6"/>
      <c r="G98" s="12"/>
    </row>
    <row r="99" spans="2:7" x14ac:dyDescent="0.25">
      <c r="B99" s="6"/>
      <c r="C99" s="12"/>
      <c r="D99" s="6"/>
      <c r="E99" s="12"/>
      <c r="F99" s="6"/>
      <c r="G99" s="12"/>
    </row>
    <row r="100" spans="2:7" x14ac:dyDescent="0.25">
      <c r="B100" s="6"/>
      <c r="C100" s="12"/>
      <c r="D100" s="6"/>
      <c r="E100" s="12"/>
      <c r="F100" s="6"/>
      <c r="G100" s="12"/>
    </row>
    <row r="101" spans="2:7" x14ac:dyDescent="0.25">
      <c r="B101" s="6"/>
      <c r="C101" s="12"/>
      <c r="D101" s="6"/>
      <c r="E101" s="12"/>
      <c r="F101" s="6"/>
      <c r="G101" s="12"/>
    </row>
    <row r="102" spans="2:7" x14ac:dyDescent="0.25">
      <c r="B102" s="6"/>
      <c r="C102" s="12"/>
      <c r="D102" s="6"/>
      <c r="E102" s="12"/>
      <c r="F102" s="6"/>
      <c r="G102" s="12"/>
    </row>
    <row r="103" spans="2:7" x14ac:dyDescent="0.25">
      <c r="B103" s="6"/>
      <c r="C103" s="12"/>
      <c r="D103" s="6"/>
      <c r="E103" s="12"/>
      <c r="F103" s="6"/>
      <c r="G103" s="12"/>
    </row>
    <row r="104" spans="2:7" x14ac:dyDescent="0.25">
      <c r="B104" s="6"/>
      <c r="C104" s="12"/>
      <c r="D104" s="6"/>
      <c r="E104" s="12"/>
      <c r="F104" s="6"/>
      <c r="G104" s="12"/>
    </row>
    <row r="105" spans="2:7" x14ac:dyDescent="0.25">
      <c r="B105" s="6"/>
      <c r="C105" s="12"/>
      <c r="D105" s="6"/>
      <c r="E105" s="12"/>
      <c r="F105" s="6"/>
      <c r="G105" s="12"/>
    </row>
    <row r="106" spans="2:7" x14ac:dyDescent="0.25">
      <c r="B106" s="6"/>
      <c r="C106" s="12"/>
      <c r="D106" s="6"/>
      <c r="E106" s="12"/>
      <c r="F106" s="6"/>
      <c r="G106" s="12"/>
    </row>
    <row r="107" spans="2:7" x14ac:dyDescent="0.25">
      <c r="B107" s="6"/>
      <c r="C107" s="12"/>
      <c r="D107" s="6"/>
      <c r="E107" s="12"/>
      <c r="F107" s="6"/>
      <c r="G107" s="12"/>
    </row>
    <row r="108" spans="2:7" x14ac:dyDescent="0.25">
      <c r="B108" s="6"/>
      <c r="C108" s="12"/>
      <c r="D108" s="6"/>
      <c r="E108" s="12"/>
      <c r="F108" s="6"/>
      <c r="G108" s="12"/>
    </row>
    <row r="109" spans="2:7" x14ac:dyDescent="0.25">
      <c r="B109" s="6"/>
      <c r="C109" s="12"/>
      <c r="D109" s="6"/>
      <c r="E109" s="12"/>
      <c r="F109" s="6"/>
      <c r="G109" s="12"/>
    </row>
    <row r="110" spans="2:7" x14ac:dyDescent="0.25">
      <c r="B110" s="6"/>
      <c r="C110" s="12"/>
      <c r="D110" s="6"/>
      <c r="E110" s="12"/>
      <c r="F110" s="6"/>
      <c r="G110" s="12"/>
    </row>
    <row r="111" spans="2:7" x14ac:dyDescent="0.25">
      <c r="B111" s="6"/>
      <c r="C111" s="12"/>
      <c r="D111" s="6"/>
      <c r="E111" s="12"/>
      <c r="F111" s="6"/>
      <c r="G111" s="12"/>
    </row>
    <row r="112" spans="2:7" x14ac:dyDescent="0.25">
      <c r="B112" s="6"/>
      <c r="C112" s="12"/>
      <c r="D112" s="6"/>
      <c r="E112" s="12"/>
      <c r="F112" s="6"/>
      <c r="G112" s="12"/>
    </row>
    <row r="113" spans="2:7" x14ac:dyDescent="0.25">
      <c r="B113" s="6"/>
      <c r="C113" s="12"/>
      <c r="D113" s="6"/>
      <c r="E113" s="12"/>
      <c r="F113" s="6"/>
      <c r="G113" s="12"/>
    </row>
    <row r="114" spans="2:7" x14ac:dyDescent="0.25">
      <c r="B114" s="6"/>
      <c r="C114" s="12"/>
      <c r="D114" s="6"/>
      <c r="E114" s="12"/>
      <c r="F114" s="6"/>
      <c r="G114" s="12"/>
    </row>
    <row r="115" spans="2:7" x14ac:dyDescent="0.25">
      <c r="B115" s="6"/>
      <c r="C115" s="12"/>
      <c r="D115" s="6"/>
      <c r="E115" s="12"/>
      <c r="F115" s="6"/>
      <c r="G115" s="12"/>
    </row>
    <row r="116" spans="2:7" x14ac:dyDescent="0.25">
      <c r="B116" s="6"/>
      <c r="C116" s="12"/>
      <c r="D116" s="6"/>
      <c r="E116" s="12"/>
      <c r="F116" s="6"/>
      <c r="G116" s="12"/>
    </row>
    <row r="117" spans="2:7" x14ac:dyDescent="0.25">
      <c r="B117" s="6"/>
      <c r="C117" s="12"/>
      <c r="D117" s="6"/>
      <c r="E117" s="12"/>
      <c r="F117" s="6"/>
      <c r="G117" s="12"/>
    </row>
    <row r="118" spans="2:7" x14ac:dyDescent="0.25">
      <c r="B118" s="6"/>
      <c r="C118" s="12"/>
      <c r="D118" s="6"/>
      <c r="E118" s="12"/>
      <c r="F118" s="6"/>
      <c r="G118" s="12"/>
    </row>
    <row r="119" spans="2:7" x14ac:dyDescent="0.25">
      <c r="B119" s="6"/>
      <c r="C119" s="12"/>
      <c r="D119" s="6"/>
      <c r="E119" s="12"/>
      <c r="F119" s="6"/>
      <c r="G119" s="12"/>
    </row>
    <row r="120" spans="2:7" x14ac:dyDescent="0.25">
      <c r="B120" s="6"/>
      <c r="C120" s="12"/>
      <c r="D120" s="6"/>
      <c r="E120" s="12"/>
      <c r="F120" s="6"/>
      <c r="G120" s="12"/>
    </row>
    <row r="121" spans="2:7" x14ac:dyDescent="0.25">
      <c r="B121" s="6"/>
      <c r="C121" s="12"/>
      <c r="D121" s="6"/>
      <c r="E121" s="12"/>
      <c r="F121" s="6"/>
      <c r="G121" s="12"/>
    </row>
    <row r="122" spans="2:7" x14ac:dyDescent="0.25">
      <c r="B122" s="6"/>
      <c r="C122" s="12"/>
      <c r="D122" s="6"/>
      <c r="E122" s="12"/>
      <c r="F122" s="6"/>
      <c r="G122" s="12"/>
    </row>
    <row r="123" spans="2:7" x14ac:dyDescent="0.25">
      <c r="B123" s="6"/>
      <c r="C123" s="12"/>
      <c r="D123" s="6"/>
      <c r="E123" s="12"/>
      <c r="F123" s="6"/>
      <c r="G123" s="12"/>
    </row>
    <row r="124" spans="2:7" x14ac:dyDescent="0.25">
      <c r="B124" s="6"/>
      <c r="C124" s="12"/>
      <c r="D124" s="6"/>
      <c r="E124" s="12"/>
      <c r="F124" s="6"/>
      <c r="G124" s="12"/>
    </row>
    <row r="125" spans="2:7" x14ac:dyDescent="0.25">
      <c r="B125" s="6"/>
      <c r="C125" s="12"/>
      <c r="D125" s="6"/>
      <c r="E125" s="12"/>
      <c r="F125" s="6"/>
      <c r="G125" s="12"/>
    </row>
    <row r="126" spans="2:7" x14ac:dyDescent="0.25">
      <c r="B126" s="6"/>
      <c r="C126" s="12"/>
      <c r="D126" s="6"/>
      <c r="E126" s="12"/>
      <c r="F126" s="6"/>
      <c r="G126" s="12"/>
    </row>
    <row r="127" spans="2:7" x14ac:dyDescent="0.25">
      <c r="B127" s="6"/>
      <c r="C127" s="12"/>
      <c r="D127" s="6"/>
      <c r="E127" s="12"/>
      <c r="F127" s="6"/>
      <c r="G127" s="12"/>
    </row>
    <row r="128" spans="2:7" x14ac:dyDescent="0.25">
      <c r="B128" s="6"/>
      <c r="C128" s="12"/>
      <c r="D128" s="6"/>
      <c r="E128" s="12"/>
      <c r="F128" s="6"/>
      <c r="G128" s="12"/>
    </row>
    <row r="129" spans="2:7" x14ac:dyDescent="0.25">
      <c r="B129" s="6"/>
      <c r="C129" s="12"/>
      <c r="D129" s="6"/>
      <c r="E129" s="12"/>
      <c r="F129" s="6"/>
      <c r="G129" s="12"/>
    </row>
    <row r="130" spans="2:7" x14ac:dyDescent="0.25">
      <c r="B130" s="6"/>
      <c r="C130" s="12"/>
      <c r="D130" s="6"/>
      <c r="E130" s="12"/>
      <c r="F130" s="6"/>
      <c r="G130" s="12"/>
    </row>
    <row r="131" spans="2:7" x14ac:dyDescent="0.25">
      <c r="B131" s="6"/>
      <c r="C131" s="12"/>
      <c r="D131" s="6"/>
      <c r="E131" s="12"/>
      <c r="F131" s="6"/>
      <c r="G131" s="12"/>
    </row>
    <row r="132" spans="2:7" x14ac:dyDescent="0.25">
      <c r="B132" s="6"/>
      <c r="C132" s="12"/>
      <c r="D132" s="6"/>
      <c r="E132" s="12"/>
      <c r="F132" s="6"/>
      <c r="G132" s="12"/>
    </row>
    <row r="133" spans="2:7" x14ac:dyDescent="0.25">
      <c r="B133" s="6"/>
      <c r="C133" s="12"/>
      <c r="D133" s="6"/>
      <c r="E133" s="12"/>
      <c r="F133" s="6"/>
      <c r="G133" s="12"/>
    </row>
    <row r="134" spans="2:7" x14ac:dyDescent="0.25">
      <c r="B134" s="6"/>
      <c r="C134" s="12"/>
      <c r="D134" s="6"/>
      <c r="E134" s="12"/>
      <c r="F134" s="6"/>
      <c r="G134" s="12"/>
    </row>
    <row r="135" spans="2:7" x14ac:dyDescent="0.25">
      <c r="B135" s="6"/>
      <c r="C135" s="12"/>
      <c r="D135" s="6"/>
      <c r="E135" s="12"/>
      <c r="F135" s="6"/>
      <c r="G135" s="12"/>
    </row>
    <row r="136" spans="2:7" x14ac:dyDescent="0.25">
      <c r="B136" s="6"/>
      <c r="C136" s="12"/>
      <c r="D136" s="6"/>
      <c r="E136" s="12"/>
      <c r="F136" s="6"/>
      <c r="G136" s="12"/>
    </row>
    <row r="137" spans="2:7" x14ac:dyDescent="0.25">
      <c r="B137" s="6"/>
      <c r="C137" s="12"/>
      <c r="D137" s="6"/>
      <c r="E137" s="12"/>
      <c r="F137" s="6"/>
      <c r="G137" s="12"/>
    </row>
    <row r="138" spans="2:7" x14ac:dyDescent="0.25">
      <c r="B138" s="6"/>
      <c r="C138" s="12"/>
      <c r="D138" s="6"/>
      <c r="E138" s="12"/>
      <c r="F138" s="6"/>
      <c r="G138" s="12"/>
    </row>
    <row r="139" spans="2:7" x14ac:dyDescent="0.25">
      <c r="B139" s="6"/>
      <c r="C139" s="12"/>
      <c r="D139" s="6"/>
      <c r="E139" s="12"/>
      <c r="F139" s="6"/>
      <c r="G139" s="12"/>
    </row>
    <row r="140" spans="2:7" x14ac:dyDescent="0.25">
      <c r="B140" s="6"/>
      <c r="C140" s="12"/>
      <c r="D140" s="6"/>
      <c r="E140" s="12"/>
      <c r="F140" s="6"/>
      <c r="G140" s="12"/>
    </row>
    <row r="141" spans="2:7" x14ac:dyDescent="0.25">
      <c r="B141" s="6"/>
      <c r="C141" s="12"/>
      <c r="D141" s="6"/>
      <c r="E141" s="12"/>
      <c r="F141" s="6"/>
      <c r="G141" s="12"/>
    </row>
    <row r="142" spans="2:7" x14ac:dyDescent="0.25">
      <c r="B142" s="6"/>
      <c r="C142" s="12"/>
      <c r="D142" s="6"/>
      <c r="E142" s="12"/>
      <c r="F142" s="6"/>
      <c r="G142" s="12"/>
    </row>
    <row r="143" spans="2:7" x14ac:dyDescent="0.25">
      <c r="B143" s="6"/>
      <c r="C143" s="12"/>
      <c r="D143" s="6"/>
      <c r="E143" s="12"/>
      <c r="F143" s="6"/>
      <c r="G143" s="12"/>
    </row>
    <row r="144" spans="2:7" x14ac:dyDescent="0.25">
      <c r="B144" s="6"/>
      <c r="C144" s="12"/>
      <c r="D144" s="6"/>
      <c r="E144" s="12"/>
      <c r="F144" s="6"/>
      <c r="G144" s="12"/>
    </row>
    <row r="145" spans="2:7" x14ac:dyDescent="0.25">
      <c r="B145" s="6"/>
      <c r="C145" s="12"/>
      <c r="D145" s="6"/>
      <c r="E145" s="12"/>
      <c r="F145" s="6"/>
      <c r="G145" s="12"/>
    </row>
    <row r="146" spans="2:7" x14ac:dyDescent="0.25">
      <c r="B146" s="6"/>
      <c r="C146" s="12"/>
      <c r="D146" s="6"/>
      <c r="E146" s="12"/>
      <c r="F146" s="6"/>
      <c r="G146" s="12"/>
    </row>
    <row r="147" spans="2:7" x14ac:dyDescent="0.25">
      <c r="B147" s="6"/>
      <c r="C147" s="12"/>
      <c r="D147" s="6"/>
      <c r="E147" s="12"/>
      <c r="F147" s="6"/>
      <c r="G147" s="12"/>
    </row>
    <row r="148" spans="2:7" x14ac:dyDescent="0.25">
      <c r="B148" s="6"/>
      <c r="C148" s="12"/>
      <c r="D148" s="6"/>
      <c r="E148" s="12"/>
      <c r="F148" s="6"/>
      <c r="G148" s="12"/>
    </row>
    <row r="149" spans="2:7" x14ac:dyDescent="0.25">
      <c r="B149" s="6"/>
      <c r="C149" s="12"/>
      <c r="D149" s="6"/>
      <c r="E149" s="12"/>
      <c r="F149" s="6"/>
      <c r="G149" s="12"/>
    </row>
    <row r="150" spans="2:7" x14ac:dyDescent="0.25">
      <c r="B150" s="6"/>
      <c r="C150" s="12"/>
      <c r="D150" s="6"/>
      <c r="E150" s="12"/>
      <c r="F150" s="6"/>
      <c r="G150" s="12"/>
    </row>
    <row r="151" spans="2:7" x14ac:dyDescent="0.25">
      <c r="B151" s="6"/>
      <c r="C151" s="12"/>
      <c r="D151" s="6"/>
      <c r="E151" s="12"/>
      <c r="F151" s="6"/>
      <c r="G151" s="12"/>
    </row>
    <row r="152" spans="2:7" x14ac:dyDescent="0.25">
      <c r="B152" s="6"/>
      <c r="C152" s="12"/>
      <c r="D152" s="6"/>
      <c r="E152" s="12"/>
      <c r="F152" s="6"/>
      <c r="G152" s="12"/>
    </row>
    <row r="153" spans="2:7" x14ac:dyDescent="0.25">
      <c r="B153" s="6"/>
      <c r="C153" s="12"/>
      <c r="D153" s="6"/>
      <c r="E153" s="12"/>
      <c r="F153" s="6"/>
      <c r="G153" s="12"/>
    </row>
    <row r="154" spans="2:7" x14ac:dyDescent="0.25">
      <c r="B154" s="6"/>
      <c r="C154" s="12"/>
      <c r="D154" s="6"/>
      <c r="E154" s="12"/>
      <c r="F154" s="6"/>
      <c r="G154" s="12"/>
    </row>
    <row r="155" spans="2:7" x14ac:dyDescent="0.25">
      <c r="B155" s="6"/>
      <c r="C155" s="12"/>
      <c r="D155" s="6"/>
      <c r="E155" s="12"/>
      <c r="F155" s="6"/>
      <c r="G155" s="12"/>
    </row>
    <row r="156" spans="2:7" x14ac:dyDescent="0.25">
      <c r="B156" s="6"/>
      <c r="C156" s="12"/>
      <c r="D156" s="6"/>
      <c r="E156" s="12"/>
      <c r="F156" s="6"/>
      <c r="G156" s="12"/>
    </row>
    <row r="157" spans="2:7" x14ac:dyDescent="0.25">
      <c r="B157" s="6"/>
      <c r="C157" s="12"/>
      <c r="D157" s="6"/>
      <c r="E157" s="12"/>
      <c r="F157" s="6"/>
      <c r="G157" s="12"/>
    </row>
    <row r="158" spans="2:7" x14ac:dyDescent="0.25">
      <c r="B158" s="6"/>
      <c r="C158" s="12"/>
      <c r="D158" s="6"/>
      <c r="E158" s="12"/>
      <c r="F158" s="6"/>
      <c r="G158" s="12"/>
    </row>
    <row r="159" spans="2:7" x14ac:dyDescent="0.25">
      <c r="B159" s="6"/>
      <c r="C159" s="12"/>
      <c r="D159" s="6"/>
      <c r="E159" s="12"/>
      <c r="F159" s="6"/>
      <c r="G159" s="12"/>
    </row>
    <row r="160" spans="2:7" x14ac:dyDescent="0.25">
      <c r="B160" s="6"/>
      <c r="C160" s="12"/>
      <c r="D160" s="6"/>
      <c r="E160" s="12"/>
      <c r="F160" s="6"/>
      <c r="G160" s="12"/>
    </row>
    <row r="161" spans="2:7" x14ac:dyDescent="0.25">
      <c r="B161" s="6"/>
      <c r="C161" s="12"/>
      <c r="D161" s="6"/>
      <c r="E161" s="12"/>
      <c r="F161" s="6"/>
      <c r="G161" s="12"/>
    </row>
    <row r="162" spans="2:7" x14ac:dyDescent="0.25">
      <c r="B162" s="6"/>
      <c r="C162" s="12"/>
      <c r="D162" s="6"/>
      <c r="E162" s="12"/>
      <c r="F162" s="6"/>
      <c r="G162" s="12"/>
    </row>
    <row r="163" spans="2:7" x14ac:dyDescent="0.25">
      <c r="B163" s="6"/>
      <c r="C163" s="12"/>
      <c r="D163" s="6"/>
      <c r="E163" s="12"/>
      <c r="F163" s="6"/>
      <c r="G163" s="12"/>
    </row>
    <row r="164" spans="2:7" x14ac:dyDescent="0.25">
      <c r="B164" s="6"/>
      <c r="C164" s="12"/>
      <c r="D164" s="6"/>
      <c r="E164" s="12"/>
      <c r="F164" s="6"/>
      <c r="G164" s="12"/>
    </row>
    <row r="165" spans="2:7" x14ac:dyDescent="0.25">
      <c r="B165" s="6"/>
      <c r="C165" s="12"/>
      <c r="D165" s="6"/>
      <c r="E165" s="12"/>
      <c r="F165" s="6"/>
      <c r="G165" s="12"/>
    </row>
    <row r="166" spans="2:7" x14ac:dyDescent="0.25">
      <c r="B166" s="6"/>
      <c r="C166" s="12"/>
      <c r="D166" s="6"/>
      <c r="E166" s="12"/>
      <c r="F166" s="6"/>
      <c r="G166" s="12"/>
    </row>
    <row r="167" spans="2:7" x14ac:dyDescent="0.25">
      <c r="B167" s="6"/>
      <c r="C167" s="12"/>
      <c r="D167" s="6"/>
      <c r="E167" s="12"/>
      <c r="F167" s="6"/>
      <c r="G167" s="12"/>
    </row>
    <row r="168" spans="2:7" x14ac:dyDescent="0.25">
      <c r="B168" s="6"/>
      <c r="C168" s="12"/>
      <c r="D168" s="6"/>
      <c r="E168" s="12"/>
      <c r="F168" s="6"/>
      <c r="G168" s="12"/>
    </row>
    <row r="169" spans="2:7" x14ac:dyDescent="0.25">
      <c r="B169" s="6"/>
      <c r="C169" s="12"/>
      <c r="D169" s="6"/>
      <c r="E169" s="12"/>
      <c r="F169" s="6"/>
      <c r="G169" s="12"/>
    </row>
    <row r="170" spans="2:7" x14ac:dyDescent="0.25">
      <c r="B170" s="6"/>
      <c r="C170" s="12"/>
      <c r="D170" s="6"/>
      <c r="E170" s="12"/>
      <c r="F170" s="6"/>
      <c r="G170" s="12"/>
    </row>
    <row r="171" spans="2:7" x14ac:dyDescent="0.25">
      <c r="B171" s="6"/>
      <c r="C171" s="12"/>
      <c r="D171" s="6"/>
      <c r="E171" s="12"/>
      <c r="F171" s="6"/>
      <c r="G171" s="12"/>
    </row>
    <row r="172" spans="2:7" x14ac:dyDescent="0.25">
      <c r="B172" s="6"/>
      <c r="C172" s="12"/>
      <c r="D172" s="6"/>
      <c r="E172" s="12"/>
      <c r="F172" s="6"/>
      <c r="G172" s="12"/>
    </row>
    <row r="173" spans="2:7" x14ac:dyDescent="0.25">
      <c r="B173" s="6"/>
      <c r="C173" s="12"/>
      <c r="D173" s="6"/>
      <c r="E173" s="12"/>
      <c r="F173" s="6"/>
      <c r="G173" s="12"/>
    </row>
    <row r="174" spans="2:7" x14ac:dyDescent="0.25">
      <c r="B174" s="6"/>
      <c r="C174" s="12"/>
      <c r="D174" s="6"/>
      <c r="E174" s="12"/>
      <c r="F174" s="6"/>
      <c r="G174" s="12"/>
    </row>
    <row r="175" spans="2:7" x14ac:dyDescent="0.25">
      <c r="B175" s="6"/>
      <c r="C175" s="12"/>
      <c r="D175" s="6"/>
      <c r="E175" s="12"/>
      <c r="F175" s="6"/>
      <c r="G175" s="12"/>
    </row>
    <row r="176" spans="2:7" x14ac:dyDescent="0.25">
      <c r="B176" s="6"/>
      <c r="C176" s="12"/>
      <c r="D176" s="6"/>
      <c r="E176" s="12"/>
      <c r="F176" s="6"/>
      <c r="G176" s="12"/>
    </row>
    <row r="177" spans="2:7" x14ac:dyDescent="0.25">
      <c r="B177" s="6"/>
      <c r="C177" s="12"/>
      <c r="D177" s="6"/>
      <c r="E177" s="12"/>
      <c r="F177" s="6"/>
      <c r="G177" s="12"/>
    </row>
    <row r="178" spans="2:7" x14ac:dyDescent="0.25">
      <c r="B178" s="6"/>
      <c r="C178" s="12"/>
      <c r="D178" s="6"/>
      <c r="E178" s="12"/>
      <c r="F178" s="6"/>
      <c r="G178" s="12"/>
    </row>
    <row r="179" spans="2:7" x14ac:dyDescent="0.25">
      <c r="B179" s="6"/>
      <c r="C179" s="12"/>
      <c r="D179" s="6"/>
      <c r="E179" s="12"/>
      <c r="F179" s="6"/>
      <c r="G179" s="12"/>
    </row>
    <row r="180" spans="2:7" x14ac:dyDescent="0.25">
      <c r="B180" s="6"/>
      <c r="C180" s="12"/>
      <c r="D180" s="6"/>
      <c r="E180" s="12"/>
      <c r="F180" s="6"/>
      <c r="G180" s="12"/>
    </row>
    <row r="181" spans="2:7" x14ac:dyDescent="0.25">
      <c r="B181" s="6"/>
      <c r="C181" s="12"/>
      <c r="D181" s="6"/>
      <c r="E181" s="12"/>
      <c r="F181" s="6"/>
      <c r="G181" s="12"/>
    </row>
    <row r="182" spans="2:7" x14ac:dyDescent="0.25">
      <c r="B182" s="6"/>
      <c r="C182" s="12"/>
      <c r="D182" s="6"/>
      <c r="E182" s="12"/>
      <c r="F182" s="6"/>
      <c r="G182" s="12"/>
    </row>
    <row r="183" spans="2:7" x14ac:dyDescent="0.25">
      <c r="B183" s="6"/>
      <c r="C183" s="12"/>
      <c r="D183" s="6"/>
      <c r="E183" s="12"/>
      <c r="F183" s="6"/>
      <c r="G183" s="12"/>
    </row>
    <row r="184" spans="2:7" x14ac:dyDescent="0.25">
      <c r="B184" s="6"/>
      <c r="C184" s="12"/>
      <c r="D184" s="6"/>
      <c r="E184" s="12"/>
      <c r="F184" s="6"/>
      <c r="G184" s="12"/>
    </row>
    <row r="185" spans="2:7" x14ac:dyDescent="0.25">
      <c r="B185" s="6"/>
      <c r="C185" s="12"/>
      <c r="D185" s="6"/>
      <c r="E185" s="12"/>
      <c r="F185" s="6"/>
      <c r="G185" s="12"/>
    </row>
    <row r="186" spans="2:7" x14ac:dyDescent="0.25">
      <c r="B186" s="6"/>
      <c r="C186" s="12"/>
      <c r="D186" s="6"/>
      <c r="E186" s="12"/>
      <c r="F186" s="6"/>
      <c r="G186" s="12"/>
    </row>
    <row r="187" spans="2:7" x14ac:dyDescent="0.25">
      <c r="B187" s="6"/>
      <c r="C187" s="12"/>
      <c r="D187" s="6"/>
      <c r="E187" s="12"/>
      <c r="F187" s="6"/>
      <c r="G187" s="12"/>
    </row>
    <row r="188" spans="2:7" x14ac:dyDescent="0.25">
      <c r="B188" s="6"/>
      <c r="C188" s="12"/>
      <c r="D188" s="6"/>
      <c r="E188" s="12"/>
      <c r="F188" s="6"/>
      <c r="G188" s="12"/>
    </row>
    <row r="189" spans="2:7" x14ac:dyDescent="0.25">
      <c r="B189" s="6"/>
      <c r="C189" s="12"/>
      <c r="D189" s="6"/>
      <c r="E189" s="12"/>
      <c r="F189" s="6"/>
      <c r="G189" s="12"/>
    </row>
    <row r="190" spans="2:7" x14ac:dyDescent="0.25">
      <c r="B190" s="6"/>
      <c r="C190" s="12"/>
      <c r="D190" s="6"/>
      <c r="E190" s="12"/>
      <c r="F190" s="6"/>
      <c r="G190" s="12"/>
    </row>
    <row r="191" spans="2:7" x14ac:dyDescent="0.25">
      <c r="B191" s="6"/>
      <c r="C191" s="12"/>
      <c r="D191" s="6"/>
      <c r="E191" s="12"/>
      <c r="F191" s="6"/>
      <c r="G191" s="12"/>
    </row>
    <row r="192" spans="2:7" x14ac:dyDescent="0.25">
      <c r="B192" s="6"/>
      <c r="C192" s="12"/>
      <c r="D192" s="6"/>
      <c r="E192" s="12"/>
      <c r="F192" s="6"/>
      <c r="G192" s="12"/>
    </row>
    <row r="193" spans="2:7" x14ac:dyDescent="0.25">
      <c r="B193" s="6"/>
      <c r="C193" s="12"/>
      <c r="D193" s="6"/>
      <c r="E193" s="12"/>
      <c r="F193" s="6"/>
      <c r="G193" s="12"/>
    </row>
    <row r="194" spans="2:7" x14ac:dyDescent="0.25">
      <c r="B194" s="6"/>
      <c r="C194" s="12"/>
      <c r="D194" s="6"/>
      <c r="E194" s="12"/>
      <c r="F194" s="6"/>
      <c r="G194" s="12"/>
    </row>
    <row r="195" spans="2:7" x14ac:dyDescent="0.25">
      <c r="B195" s="6"/>
      <c r="C195" s="12"/>
      <c r="D195" s="6"/>
      <c r="E195" s="12"/>
      <c r="F195" s="6"/>
      <c r="G195" s="12"/>
    </row>
    <row r="196" spans="2:7" x14ac:dyDescent="0.25">
      <c r="B196" s="6"/>
      <c r="C196" s="12"/>
      <c r="D196" s="6"/>
      <c r="E196" s="12"/>
      <c r="F196" s="6"/>
      <c r="G196" s="12"/>
    </row>
    <row r="197" spans="2:7" x14ac:dyDescent="0.25">
      <c r="B197" s="6"/>
      <c r="C197" s="12"/>
      <c r="D197" s="6"/>
      <c r="E197" s="12"/>
      <c r="F197" s="6"/>
      <c r="G197" s="12"/>
    </row>
    <row r="198" spans="2:7" x14ac:dyDescent="0.25">
      <c r="B198" s="6"/>
      <c r="C198" s="12"/>
      <c r="D198" s="6"/>
      <c r="E198" s="12"/>
      <c r="F198" s="6"/>
      <c r="G198" s="12"/>
    </row>
    <row r="199" spans="2:7" x14ac:dyDescent="0.25">
      <c r="B199" s="6"/>
      <c r="C199" s="12"/>
      <c r="D199" s="6"/>
      <c r="E199" s="12"/>
      <c r="F199" s="6"/>
      <c r="G199" s="12"/>
    </row>
    <row r="200" spans="2:7" x14ac:dyDescent="0.25">
      <c r="B200" s="6"/>
      <c r="C200" s="12"/>
      <c r="D200" s="6"/>
      <c r="E200" s="12"/>
      <c r="F200" s="6"/>
      <c r="G200" s="12"/>
    </row>
    <row r="201" spans="2:7" x14ac:dyDescent="0.25">
      <c r="B201" s="6"/>
      <c r="C201" s="12"/>
      <c r="D201" s="6"/>
      <c r="E201" s="12"/>
      <c r="F201" s="6"/>
      <c r="G201" s="12"/>
    </row>
    <row r="202" spans="2:7" x14ac:dyDescent="0.25">
      <c r="B202" s="6"/>
      <c r="C202" s="12"/>
      <c r="D202" s="6"/>
      <c r="E202" s="12"/>
      <c r="F202" s="6"/>
      <c r="G202" s="12"/>
    </row>
    <row r="203" spans="2:7" x14ac:dyDescent="0.25">
      <c r="B203" s="6"/>
      <c r="C203" s="12"/>
      <c r="D203" s="6"/>
      <c r="E203" s="12"/>
      <c r="F203" s="6"/>
      <c r="G203" s="12"/>
    </row>
    <row r="204" spans="2:7" x14ac:dyDescent="0.25">
      <c r="B204" s="6"/>
      <c r="C204" s="12"/>
      <c r="D204" s="6"/>
      <c r="E204" s="12"/>
      <c r="F204" s="6"/>
      <c r="G204" s="12"/>
    </row>
    <row r="205" spans="2:7" x14ac:dyDescent="0.25">
      <c r="B205" s="6"/>
      <c r="C205" s="12"/>
      <c r="D205" s="6"/>
      <c r="E205" s="12"/>
      <c r="F205" s="6"/>
      <c r="G205" s="12"/>
    </row>
    <row r="206" spans="2:7" x14ac:dyDescent="0.25">
      <c r="B206" s="6"/>
      <c r="C206" s="12"/>
      <c r="D206" s="6"/>
      <c r="E206" s="12"/>
      <c r="F206" s="6"/>
      <c r="G206" s="12"/>
    </row>
    <row r="207" spans="2:7" x14ac:dyDescent="0.25">
      <c r="B207" s="6"/>
      <c r="C207" s="12"/>
      <c r="D207" s="6"/>
      <c r="E207" s="12"/>
      <c r="F207" s="6"/>
      <c r="G207" s="12"/>
    </row>
    <row r="208" spans="2:7" x14ac:dyDescent="0.25">
      <c r="B208" s="6"/>
      <c r="C208" s="12"/>
      <c r="D208" s="6"/>
      <c r="E208" s="12"/>
      <c r="F208" s="6"/>
      <c r="G208" s="12"/>
    </row>
    <row r="209" spans="2:7" x14ac:dyDescent="0.25">
      <c r="B209" s="6"/>
      <c r="C209" s="12"/>
      <c r="D209" s="6"/>
      <c r="E209" s="12"/>
      <c r="F209" s="6"/>
      <c r="G209" s="12"/>
    </row>
    <row r="210" spans="2:7" x14ac:dyDescent="0.25">
      <c r="B210" s="6"/>
      <c r="C210" s="12"/>
      <c r="D210" s="6"/>
      <c r="E210" s="12"/>
      <c r="F210" s="6"/>
      <c r="G210" s="12"/>
    </row>
    <row r="211" spans="2:7" x14ac:dyDescent="0.25">
      <c r="B211" s="6"/>
      <c r="C211" s="12"/>
      <c r="D211" s="6"/>
      <c r="E211" s="12"/>
      <c r="F211" s="6"/>
      <c r="G211" s="12"/>
    </row>
    <row r="212" spans="2:7" x14ac:dyDescent="0.25">
      <c r="B212" s="6"/>
      <c r="C212" s="12"/>
      <c r="D212" s="6"/>
      <c r="E212" s="12"/>
      <c r="F212" s="6"/>
      <c r="G212" s="12"/>
    </row>
    <row r="213" spans="2:7" x14ac:dyDescent="0.25">
      <c r="B213" s="6"/>
      <c r="C213" s="12"/>
      <c r="D213" s="6"/>
      <c r="E213" s="12"/>
      <c r="F213" s="6"/>
      <c r="G213" s="12"/>
    </row>
    <row r="214" spans="2:7" x14ac:dyDescent="0.25">
      <c r="B214" s="6"/>
      <c r="C214" s="12"/>
      <c r="D214" s="6"/>
      <c r="E214" s="12"/>
      <c r="F214" s="6"/>
      <c r="G214" s="12"/>
    </row>
    <row r="215" spans="2:7" x14ac:dyDescent="0.25">
      <c r="B215" s="6"/>
      <c r="C215" s="12"/>
      <c r="D215" s="6"/>
      <c r="E215" s="12"/>
      <c r="F215" s="6"/>
      <c r="G215" s="12"/>
    </row>
    <row r="216" spans="2:7" x14ac:dyDescent="0.25">
      <c r="B216" s="6"/>
      <c r="C216" s="12"/>
      <c r="D216" s="6"/>
      <c r="E216" s="12"/>
      <c r="F216" s="6"/>
      <c r="G216" s="12"/>
    </row>
    <row r="217" spans="2:7" x14ac:dyDescent="0.25">
      <c r="B217" s="6"/>
      <c r="C217" s="12"/>
      <c r="D217" s="6"/>
      <c r="E217" s="12"/>
      <c r="F217" s="6"/>
      <c r="G217" s="12"/>
    </row>
    <row r="218" spans="2:7" x14ac:dyDescent="0.25">
      <c r="B218" s="6"/>
      <c r="C218" s="12"/>
      <c r="D218" s="6"/>
      <c r="E218" s="12"/>
      <c r="F218" s="6"/>
      <c r="G218" s="12"/>
    </row>
    <row r="219" spans="2:7" x14ac:dyDescent="0.25">
      <c r="B219" s="6"/>
      <c r="C219" s="12"/>
      <c r="D219" s="6"/>
      <c r="E219" s="12"/>
      <c r="F219" s="6"/>
      <c r="G219" s="12"/>
    </row>
    <row r="220" spans="2:7" x14ac:dyDescent="0.25">
      <c r="B220" s="6"/>
      <c r="C220" s="12"/>
      <c r="D220" s="6"/>
      <c r="E220" s="12"/>
      <c r="F220" s="6"/>
      <c r="G220" s="12"/>
    </row>
    <row r="221" spans="2:7" x14ac:dyDescent="0.25">
      <c r="B221" s="6"/>
      <c r="C221" s="12"/>
      <c r="D221" s="6"/>
      <c r="E221" s="12"/>
      <c r="F221" s="6"/>
      <c r="G221" s="12"/>
    </row>
    <row r="222" spans="2:7" x14ac:dyDescent="0.25">
      <c r="B222" s="6"/>
      <c r="C222" s="12"/>
      <c r="D222" s="6"/>
      <c r="E222" s="12"/>
      <c r="F222" s="6"/>
      <c r="G222" s="12"/>
    </row>
    <row r="223" spans="2:7" x14ac:dyDescent="0.25">
      <c r="B223" s="6"/>
      <c r="C223" s="12"/>
      <c r="D223" s="6"/>
      <c r="E223" s="12"/>
      <c r="F223" s="6"/>
      <c r="G223" s="12"/>
    </row>
    <row r="224" spans="2:7" x14ac:dyDescent="0.25">
      <c r="B224" s="6"/>
      <c r="C224" s="12"/>
      <c r="D224" s="6"/>
      <c r="E224" s="12"/>
      <c r="F224" s="6"/>
      <c r="G224" s="12"/>
    </row>
    <row r="225" spans="2:7" x14ac:dyDescent="0.25">
      <c r="B225" s="6"/>
      <c r="C225" s="12"/>
      <c r="D225" s="6"/>
      <c r="E225" s="12"/>
      <c r="F225" s="6"/>
      <c r="G225" s="12"/>
    </row>
    <row r="226" spans="2:7" x14ac:dyDescent="0.25">
      <c r="B226" s="6"/>
      <c r="C226" s="12"/>
      <c r="D226" s="6"/>
      <c r="E226" s="12"/>
      <c r="F226" s="6"/>
      <c r="G226" s="12"/>
    </row>
    <row r="227" spans="2:7" x14ac:dyDescent="0.25">
      <c r="B227" s="6"/>
      <c r="C227" s="12"/>
      <c r="D227" s="6"/>
      <c r="E227" s="12"/>
      <c r="F227" s="6"/>
      <c r="G227" s="12"/>
    </row>
    <row r="228" spans="2:7" x14ac:dyDescent="0.25">
      <c r="B228" s="6"/>
      <c r="C228" s="12"/>
      <c r="D228" s="6"/>
      <c r="E228" s="12"/>
      <c r="F228" s="6"/>
      <c r="G228" s="12"/>
    </row>
    <row r="229" spans="2:7" x14ac:dyDescent="0.25">
      <c r="B229" s="6"/>
      <c r="C229" s="12"/>
      <c r="D229" s="6"/>
      <c r="E229" s="12"/>
      <c r="F229" s="6"/>
      <c r="G229" s="12"/>
    </row>
    <row r="230" spans="2:7" x14ac:dyDescent="0.25">
      <c r="B230" s="6"/>
      <c r="C230" s="12"/>
      <c r="D230" s="6"/>
      <c r="E230" s="12"/>
      <c r="F230" s="6"/>
      <c r="G230" s="12"/>
    </row>
    <row r="231" spans="2:7" x14ac:dyDescent="0.25">
      <c r="B231" s="6"/>
      <c r="C231" s="12"/>
      <c r="D231" s="6"/>
      <c r="E231" s="12"/>
      <c r="F231" s="6"/>
      <c r="G231" s="12"/>
    </row>
    <row r="232" spans="2:7" x14ac:dyDescent="0.25">
      <c r="B232" s="6"/>
      <c r="C232" s="12"/>
      <c r="D232" s="6"/>
      <c r="E232" s="12"/>
      <c r="F232" s="6"/>
      <c r="G232" s="12"/>
    </row>
    <row r="233" spans="2:7" x14ac:dyDescent="0.25">
      <c r="B233" s="6"/>
      <c r="C233" s="12"/>
      <c r="D233" s="6"/>
      <c r="E233" s="12"/>
      <c r="F233" s="6"/>
      <c r="G233" s="12"/>
    </row>
    <row r="234" spans="2:7" x14ac:dyDescent="0.25">
      <c r="B234" s="6"/>
      <c r="C234" s="12"/>
      <c r="D234" s="6"/>
      <c r="E234" s="12"/>
      <c r="F234" s="6"/>
      <c r="G234" s="12"/>
    </row>
    <row r="235" spans="2:7" x14ac:dyDescent="0.25">
      <c r="B235" s="6"/>
      <c r="C235" s="12"/>
      <c r="D235" s="6"/>
      <c r="E235" s="12"/>
      <c r="F235" s="6"/>
      <c r="G235" s="12"/>
    </row>
    <row r="236" spans="2:7" x14ac:dyDescent="0.25">
      <c r="B236" s="6"/>
      <c r="C236" s="12"/>
      <c r="D236" s="6"/>
      <c r="E236" s="12"/>
      <c r="F236" s="6"/>
      <c r="G236" s="12"/>
    </row>
    <row r="237" spans="2:7" x14ac:dyDescent="0.25">
      <c r="B237" s="6"/>
      <c r="C237" s="12"/>
      <c r="D237" s="6"/>
      <c r="E237" s="12"/>
      <c r="F237" s="6"/>
      <c r="G237" s="12"/>
    </row>
    <row r="238" spans="2:7" x14ac:dyDescent="0.25">
      <c r="B238" s="6"/>
      <c r="C238" s="12"/>
      <c r="D238" s="6"/>
      <c r="E238" s="12"/>
      <c r="F238" s="6"/>
      <c r="G238" s="12"/>
    </row>
    <row r="239" spans="2:7" x14ac:dyDescent="0.25">
      <c r="B239" s="6"/>
      <c r="C239" s="12"/>
      <c r="D239" s="6"/>
      <c r="E239" s="12"/>
      <c r="F239" s="6"/>
      <c r="G239" s="12"/>
    </row>
    <row r="240" spans="2:7" x14ac:dyDescent="0.25">
      <c r="B240" s="6"/>
      <c r="C240" s="12"/>
      <c r="D240" s="6"/>
      <c r="E240" s="12"/>
      <c r="F240" s="6"/>
      <c r="G240" s="12"/>
    </row>
    <row r="241" spans="2:7" x14ac:dyDescent="0.25">
      <c r="B241" s="6"/>
      <c r="C241" s="12"/>
      <c r="D241" s="6"/>
      <c r="E241" s="12"/>
      <c r="F241" s="6"/>
      <c r="G241" s="12"/>
    </row>
    <row r="242" spans="2:7" x14ac:dyDescent="0.25">
      <c r="B242" s="6"/>
      <c r="C242" s="12"/>
      <c r="D242" s="6"/>
      <c r="E242" s="12"/>
      <c r="F242" s="6"/>
      <c r="G242" s="12"/>
    </row>
    <row r="243" spans="2:7" x14ac:dyDescent="0.25">
      <c r="B243" s="6"/>
      <c r="C243" s="12"/>
      <c r="D243" s="6"/>
      <c r="E243" s="12"/>
      <c r="F243" s="6"/>
      <c r="G243" s="12"/>
    </row>
    <row r="244" spans="2:7" x14ac:dyDescent="0.25">
      <c r="B244" s="6"/>
      <c r="C244" s="12"/>
      <c r="D244" s="6"/>
      <c r="E244" s="12"/>
      <c r="F244" s="6"/>
      <c r="G244" s="12"/>
    </row>
    <row r="245" spans="2:7" x14ac:dyDescent="0.25">
      <c r="B245" s="6"/>
      <c r="C245" s="12"/>
      <c r="D245" s="6"/>
      <c r="E245" s="12"/>
      <c r="F245" s="6"/>
      <c r="G245" s="12"/>
    </row>
    <row r="246" spans="2:7" x14ac:dyDescent="0.25">
      <c r="B246" s="6"/>
      <c r="C246" s="12"/>
      <c r="D246" s="6"/>
      <c r="E246" s="12"/>
      <c r="F246" s="6"/>
      <c r="G246" s="12"/>
    </row>
    <row r="247" spans="2:7" x14ac:dyDescent="0.25">
      <c r="B247" s="6"/>
      <c r="C247" s="12"/>
      <c r="D247" s="6"/>
      <c r="E247" s="12"/>
      <c r="F247" s="6"/>
      <c r="G247" s="12"/>
    </row>
    <row r="248" spans="2:7" x14ac:dyDescent="0.25">
      <c r="B248" s="6"/>
      <c r="C248" s="12"/>
      <c r="D248" s="6"/>
      <c r="E248" s="12"/>
      <c r="F248" s="6"/>
      <c r="G248" s="12"/>
    </row>
    <row r="249" spans="2:7" x14ac:dyDescent="0.25">
      <c r="B249" s="6"/>
      <c r="C249" s="12"/>
      <c r="D249" s="6"/>
      <c r="E249" s="12"/>
      <c r="F249" s="6"/>
      <c r="G249" s="12"/>
    </row>
    <row r="250" spans="2:7" x14ac:dyDescent="0.25">
      <c r="B250" s="6"/>
      <c r="C250" s="12"/>
      <c r="D250" s="6"/>
      <c r="E250" s="12"/>
      <c r="F250" s="6"/>
      <c r="G250" s="12"/>
    </row>
    <row r="251" spans="2:7" x14ac:dyDescent="0.25">
      <c r="B251" s="6"/>
      <c r="C251" s="12"/>
      <c r="D251" s="6"/>
      <c r="E251" s="12"/>
      <c r="F251" s="6"/>
      <c r="G251" s="12"/>
    </row>
    <row r="252" spans="2:7" x14ac:dyDescent="0.25">
      <c r="B252" s="6"/>
      <c r="C252" s="12"/>
      <c r="D252" s="6"/>
      <c r="E252" s="12"/>
      <c r="F252" s="6"/>
      <c r="G252" s="12"/>
    </row>
    <row r="253" spans="2:7" x14ac:dyDescent="0.25">
      <c r="B253" s="6"/>
      <c r="C253" s="12"/>
      <c r="D253" s="6"/>
      <c r="E253" s="12"/>
      <c r="F253" s="6"/>
      <c r="G253" s="12"/>
    </row>
    <row r="254" spans="2:7" x14ac:dyDescent="0.25">
      <c r="B254" s="6"/>
      <c r="C254" s="12"/>
      <c r="D254" s="6"/>
      <c r="E254" s="12"/>
      <c r="F254" s="6"/>
      <c r="G254" s="12"/>
    </row>
    <row r="255" spans="2:7" x14ac:dyDescent="0.25">
      <c r="B255" s="6"/>
      <c r="C255" s="12"/>
      <c r="D255" s="6"/>
      <c r="E255" s="12"/>
      <c r="F255" s="6"/>
      <c r="G255" s="12"/>
    </row>
    <row r="256" spans="2:7" x14ac:dyDescent="0.25">
      <c r="B256" s="6"/>
      <c r="C256" s="12"/>
      <c r="D256" s="6"/>
      <c r="E256" s="12"/>
      <c r="F256" s="6"/>
      <c r="G256" s="12"/>
    </row>
    <row r="257" spans="2:7" x14ac:dyDescent="0.25">
      <c r="B257" s="6"/>
      <c r="C257" s="12"/>
      <c r="D257" s="6"/>
      <c r="E257" s="12"/>
      <c r="F257" s="6"/>
      <c r="G257" s="12"/>
    </row>
    <row r="258" spans="2:7" x14ac:dyDescent="0.25">
      <c r="B258" s="6"/>
      <c r="C258" s="12"/>
      <c r="D258" s="6"/>
      <c r="E258" s="12"/>
      <c r="F258" s="6"/>
      <c r="G258" s="12"/>
    </row>
    <row r="259" spans="2:7" x14ac:dyDescent="0.25">
      <c r="B259" s="6"/>
      <c r="C259" s="12"/>
      <c r="D259" s="6"/>
      <c r="E259" s="12"/>
      <c r="F259" s="6"/>
      <c r="G259" s="12"/>
    </row>
    <row r="260" spans="2:7" x14ac:dyDescent="0.25">
      <c r="B260" s="6"/>
      <c r="C260" s="12"/>
      <c r="D260" s="6"/>
      <c r="E260" s="12"/>
      <c r="F260" s="6"/>
      <c r="G260" s="12"/>
    </row>
    <row r="261" spans="2:7" x14ac:dyDescent="0.25">
      <c r="B261" s="6"/>
      <c r="C261" s="12"/>
      <c r="D261" s="6"/>
      <c r="E261" s="12"/>
      <c r="F261" s="6"/>
      <c r="G261" s="12"/>
    </row>
    <row r="262" spans="2:7" x14ac:dyDescent="0.25">
      <c r="B262" s="6"/>
      <c r="C262" s="12"/>
      <c r="D262" s="6"/>
      <c r="E262" s="12"/>
      <c r="F262" s="6"/>
      <c r="G262" s="12"/>
    </row>
    <row r="263" spans="2:7" x14ac:dyDescent="0.25">
      <c r="B263" s="6"/>
      <c r="C263" s="12"/>
      <c r="D263" s="6"/>
      <c r="E263" s="12"/>
      <c r="F263" s="6"/>
      <c r="G263" s="12"/>
    </row>
    <row r="264" spans="2:7" x14ac:dyDescent="0.25">
      <c r="B264" s="6"/>
      <c r="C264" s="12"/>
      <c r="D264" s="6"/>
      <c r="E264" s="12"/>
      <c r="F264" s="6"/>
      <c r="G264" s="12"/>
    </row>
    <row r="265" spans="2:7" x14ac:dyDescent="0.25">
      <c r="B265" s="6"/>
      <c r="C265" s="12"/>
      <c r="D265" s="6"/>
      <c r="E265" s="12"/>
      <c r="F265" s="6"/>
      <c r="G265" s="12"/>
    </row>
    <row r="266" spans="2:7" x14ac:dyDescent="0.25">
      <c r="B266" s="6"/>
      <c r="C266" s="12"/>
      <c r="D266" s="6"/>
      <c r="E266" s="12"/>
      <c r="F266" s="6"/>
      <c r="G266" s="12"/>
    </row>
    <row r="267" spans="2:7" x14ac:dyDescent="0.25">
      <c r="B267" s="6"/>
      <c r="C267" s="12"/>
      <c r="D267" s="6"/>
      <c r="E267" s="12"/>
      <c r="F267" s="6"/>
      <c r="G267" s="12"/>
    </row>
    <row r="268" spans="2:7" x14ac:dyDescent="0.25">
      <c r="B268" s="6"/>
      <c r="C268" s="12"/>
      <c r="D268" s="6"/>
      <c r="E268" s="12"/>
      <c r="F268" s="6"/>
      <c r="G268" s="12"/>
    </row>
    <row r="269" spans="2:7" x14ac:dyDescent="0.25">
      <c r="B269" s="6"/>
      <c r="C269" s="12"/>
      <c r="D269" s="6"/>
      <c r="E269" s="12"/>
      <c r="F269" s="6"/>
      <c r="G269" s="12"/>
    </row>
    <row r="270" spans="2:7" x14ac:dyDescent="0.25">
      <c r="B270" s="6"/>
      <c r="C270" s="12"/>
      <c r="D270" s="6"/>
      <c r="E270" s="12"/>
      <c r="F270" s="6"/>
      <c r="G270" s="12"/>
    </row>
    <row r="271" spans="2:7" x14ac:dyDescent="0.25">
      <c r="B271" s="6"/>
      <c r="C271" s="12"/>
      <c r="D271" s="6"/>
      <c r="E271" s="12"/>
      <c r="F271" s="6"/>
      <c r="G271" s="12"/>
    </row>
    <row r="272" spans="2:7" x14ac:dyDescent="0.25">
      <c r="B272" s="6"/>
      <c r="C272" s="12"/>
      <c r="D272" s="6"/>
      <c r="E272" s="12"/>
      <c r="F272" s="6"/>
      <c r="G272" s="12"/>
    </row>
    <row r="273" spans="2:7" x14ac:dyDescent="0.25">
      <c r="B273" s="6"/>
      <c r="C273" s="12"/>
      <c r="D273" s="6"/>
      <c r="E273" s="12"/>
      <c r="F273" s="6"/>
      <c r="G273" s="12"/>
    </row>
    <row r="274" spans="2:7" x14ac:dyDescent="0.25">
      <c r="B274" s="6"/>
      <c r="C274" s="12"/>
      <c r="D274" s="6"/>
      <c r="E274" s="12"/>
      <c r="F274" s="6"/>
      <c r="G274" s="12"/>
    </row>
    <row r="275" spans="2:7" x14ac:dyDescent="0.25">
      <c r="B275" s="6"/>
      <c r="C275" s="12"/>
      <c r="D275" s="6"/>
      <c r="E275" s="12"/>
      <c r="F275" s="6"/>
      <c r="G275" s="12"/>
    </row>
    <row r="276" spans="2:7" x14ac:dyDescent="0.25">
      <c r="B276" s="6"/>
      <c r="C276" s="12"/>
      <c r="D276" s="6"/>
      <c r="E276" s="12"/>
      <c r="F276" s="6"/>
      <c r="G276" s="12"/>
    </row>
    <row r="277" spans="2:7" x14ac:dyDescent="0.25">
      <c r="B277" s="6"/>
      <c r="C277" s="12"/>
      <c r="D277" s="6"/>
      <c r="E277" s="12"/>
      <c r="F277" s="6"/>
      <c r="G277" s="12"/>
    </row>
    <row r="278" spans="2:7" x14ac:dyDescent="0.25">
      <c r="B278" s="6"/>
      <c r="C278" s="12"/>
      <c r="D278" s="6"/>
      <c r="E278" s="12"/>
      <c r="F278" s="6"/>
      <c r="G278" s="12"/>
    </row>
    <row r="279" spans="2:7" x14ac:dyDescent="0.25">
      <c r="B279" s="6"/>
      <c r="C279" s="12"/>
      <c r="D279" s="6"/>
      <c r="E279" s="12"/>
      <c r="F279" s="6"/>
      <c r="G279" s="12"/>
    </row>
    <row r="280" spans="2:7" x14ac:dyDescent="0.25">
      <c r="B280" s="6"/>
      <c r="C280" s="12"/>
      <c r="D280" s="6"/>
      <c r="E280" s="12"/>
      <c r="F280" s="6"/>
      <c r="G280" s="12"/>
    </row>
    <row r="281" spans="2:7" x14ac:dyDescent="0.25">
      <c r="B281" s="6"/>
      <c r="C281" s="12"/>
      <c r="D281" s="6"/>
      <c r="E281" s="12"/>
      <c r="F281" s="6"/>
      <c r="G281" s="12"/>
    </row>
    <row r="282" spans="2:7" x14ac:dyDescent="0.25">
      <c r="B282" s="6"/>
      <c r="C282" s="12"/>
      <c r="D282" s="6"/>
      <c r="E282" s="12"/>
      <c r="F282" s="6"/>
      <c r="G282" s="12"/>
    </row>
    <row r="283" spans="2:7" x14ac:dyDescent="0.25">
      <c r="B283" s="6"/>
      <c r="C283" s="12"/>
      <c r="D283" s="6"/>
      <c r="E283" s="12"/>
      <c r="F283" s="6"/>
      <c r="G283" s="12"/>
    </row>
    <row r="284" spans="2:7" x14ac:dyDescent="0.25">
      <c r="B284" s="6"/>
      <c r="C284" s="12"/>
      <c r="D284" s="6"/>
      <c r="E284" s="12"/>
      <c r="F284" s="6"/>
      <c r="G284" s="12"/>
    </row>
    <row r="285" spans="2:7" x14ac:dyDescent="0.25">
      <c r="B285" s="6"/>
      <c r="C285" s="12"/>
      <c r="D285" s="6"/>
      <c r="E285" s="12"/>
      <c r="F285" s="6"/>
      <c r="G285" s="12"/>
    </row>
    <row r="286" spans="2:7" x14ac:dyDescent="0.25">
      <c r="B286" s="6"/>
      <c r="C286" s="12"/>
      <c r="D286" s="6"/>
      <c r="E286" s="12"/>
      <c r="F286" s="6"/>
      <c r="G286" s="12"/>
    </row>
    <row r="287" spans="2:7" x14ac:dyDescent="0.25">
      <c r="B287" s="6"/>
      <c r="C287" s="12"/>
      <c r="D287" s="6"/>
      <c r="E287" s="12"/>
      <c r="F287" s="6"/>
      <c r="G287" s="12"/>
    </row>
    <row r="288" spans="2:7" x14ac:dyDescent="0.25">
      <c r="B288" s="6"/>
      <c r="C288" s="12"/>
      <c r="D288" s="6"/>
      <c r="E288" s="12"/>
      <c r="F288" s="6"/>
      <c r="G288" s="12"/>
    </row>
    <row r="289" spans="2:7" x14ac:dyDescent="0.25">
      <c r="B289" s="6"/>
      <c r="C289" s="12"/>
      <c r="D289" s="6"/>
      <c r="E289" s="12"/>
      <c r="F289" s="6"/>
      <c r="G289" s="12"/>
    </row>
    <row r="290" spans="2:7" x14ac:dyDescent="0.25">
      <c r="B290" s="6"/>
      <c r="C290" s="12"/>
      <c r="D290" s="6"/>
      <c r="E290" s="12"/>
      <c r="F290" s="6"/>
      <c r="G290" s="12"/>
    </row>
    <row r="291" spans="2:7" x14ac:dyDescent="0.25">
      <c r="B291" s="6"/>
      <c r="C291" s="12"/>
      <c r="D291" s="6"/>
      <c r="E291" s="12"/>
      <c r="F291" s="6"/>
      <c r="G291" s="12"/>
    </row>
    <row r="292" spans="2:7" x14ac:dyDescent="0.25">
      <c r="B292" s="6"/>
      <c r="C292" s="12"/>
      <c r="D292" s="6"/>
      <c r="E292" s="12"/>
      <c r="F292" s="6"/>
      <c r="G292" s="12"/>
    </row>
    <row r="293" spans="2:7" x14ac:dyDescent="0.25">
      <c r="B293" s="6"/>
      <c r="C293" s="12"/>
      <c r="D293" s="6"/>
      <c r="E293" s="12"/>
      <c r="F293" s="6"/>
      <c r="G293" s="12"/>
    </row>
    <row r="294" spans="2:7" x14ac:dyDescent="0.25">
      <c r="B294" s="6"/>
      <c r="C294" s="12"/>
      <c r="D294" s="6"/>
      <c r="E294" s="12"/>
      <c r="F294" s="6"/>
      <c r="G294" s="12"/>
    </row>
    <row r="295" spans="2:7" x14ac:dyDescent="0.25">
      <c r="B295" s="6"/>
      <c r="C295" s="12"/>
      <c r="D295" s="6"/>
      <c r="E295" s="12"/>
      <c r="F295" s="6"/>
      <c r="G295" s="12"/>
    </row>
    <row r="296" spans="2:7" x14ac:dyDescent="0.25">
      <c r="B296" s="6"/>
      <c r="C296" s="12"/>
      <c r="D296" s="6"/>
      <c r="E296" s="12"/>
      <c r="F296" s="6"/>
      <c r="G296" s="12"/>
    </row>
    <row r="297" spans="2:7" x14ac:dyDescent="0.25">
      <c r="B297" s="6"/>
      <c r="C297" s="12"/>
      <c r="D297" s="6"/>
      <c r="E297" s="12"/>
      <c r="F297" s="6"/>
      <c r="G297" s="12"/>
    </row>
    <row r="298" spans="2:7" x14ac:dyDescent="0.25">
      <c r="B298" s="6"/>
      <c r="C298" s="12"/>
      <c r="D298" s="6"/>
      <c r="E298" s="12"/>
      <c r="F298" s="6"/>
      <c r="G298" s="12"/>
    </row>
    <row r="299" spans="2:7" x14ac:dyDescent="0.25">
      <c r="B299" s="6"/>
      <c r="C299" s="12"/>
      <c r="D299" s="6"/>
      <c r="E299" s="12"/>
      <c r="F299" s="6"/>
      <c r="G299" s="12"/>
    </row>
    <row r="300" spans="2:7" x14ac:dyDescent="0.25">
      <c r="B300" s="6"/>
      <c r="C300" s="12"/>
      <c r="D300" s="6"/>
      <c r="E300" s="12"/>
      <c r="F300" s="6"/>
      <c r="G300" s="12"/>
    </row>
    <row r="301" spans="2:7" x14ac:dyDescent="0.25">
      <c r="B301" s="6"/>
      <c r="C301" s="12"/>
      <c r="D301" s="6"/>
      <c r="E301" s="12"/>
      <c r="F301" s="6"/>
      <c r="G301" s="12"/>
    </row>
    <row r="302" spans="2:7" x14ac:dyDescent="0.25">
      <c r="B302" s="6"/>
      <c r="C302" s="12"/>
      <c r="D302" s="6"/>
      <c r="E302" s="12"/>
      <c r="F302" s="6"/>
      <c r="G302" s="12"/>
    </row>
    <row r="303" spans="2:7" x14ac:dyDescent="0.25">
      <c r="B303" s="6"/>
      <c r="C303" s="12"/>
      <c r="D303" s="6"/>
      <c r="E303" s="12"/>
      <c r="F303" s="6"/>
      <c r="G303" s="12"/>
    </row>
    <row r="304" spans="2:7" x14ac:dyDescent="0.25">
      <c r="B304" s="6"/>
      <c r="C304" s="12"/>
      <c r="D304" s="6"/>
      <c r="E304" s="12"/>
      <c r="F304" s="6"/>
      <c r="G304" s="12"/>
    </row>
    <row r="305" spans="2:7" x14ac:dyDescent="0.25">
      <c r="B305" s="6"/>
      <c r="C305" s="12"/>
      <c r="D305" s="6"/>
      <c r="E305" s="12"/>
      <c r="F305" s="6"/>
      <c r="G305" s="12"/>
    </row>
    <row r="306" spans="2:7" x14ac:dyDescent="0.25">
      <c r="B306" s="6"/>
      <c r="C306" s="12"/>
      <c r="D306" s="6"/>
      <c r="E306" s="12"/>
      <c r="F306" s="6"/>
      <c r="G306" s="12"/>
    </row>
    <row r="307" spans="2:7" x14ac:dyDescent="0.25">
      <c r="B307" s="6"/>
      <c r="C307" s="12"/>
      <c r="D307" s="6"/>
      <c r="E307" s="12"/>
      <c r="F307" s="6"/>
      <c r="G307" s="12"/>
    </row>
    <row r="308" spans="2:7" x14ac:dyDescent="0.25">
      <c r="B308" s="6"/>
      <c r="C308" s="12"/>
      <c r="D308" s="6"/>
      <c r="E308" s="12"/>
      <c r="F308" s="6"/>
      <c r="G308" s="12"/>
    </row>
    <row r="309" spans="2:7" x14ac:dyDescent="0.25">
      <c r="B309" s="6"/>
      <c r="C309" s="12"/>
      <c r="D309" s="6"/>
      <c r="E309" s="12"/>
      <c r="F309" s="6"/>
      <c r="G309" s="12"/>
    </row>
    <row r="310" spans="2:7" x14ac:dyDescent="0.25">
      <c r="B310" s="6"/>
      <c r="C310" s="12"/>
      <c r="D310" s="6"/>
      <c r="E310" s="12"/>
      <c r="F310" s="6"/>
      <c r="G310" s="12"/>
    </row>
    <row r="311" spans="2:7" x14ac:dyDescent="0.25">
      <c r="B311" s="6"/>
      <c r="C311" s="12"/>
      <c r="D311" s="6"/>
      <c r="E311" s="12"/>
      <c r="F311" s="6"/>
      <c r="G311" s="12"/>
    </row>
    <row r="312" spans="2:7" x14ac:dyDescent="0.25">
      <c r="B312" s="6"/>
      <c r="C312" s="12"/>
      <c r="D312" s="6"/>
      <c r="E312" s="12"/>
      <c r="F312" s="6"/>
      <c r="G312" s="12"/>
    </row>
    <row r="313" spans="2:7" x14ac:dyDescent="0.25">
      <c r="B313" s="6"/>
      <c r="C313" s="12"/>
      <c r="D313" s="6"/>
      <c r="E313" s="12"/>
      <c r="F313" s="6"/>
      <c r="G313" s="12"/>
    </row>
    <row r="314" spans="2:7" x14ac:dyDescent="0.25">
      <c r="B314" s="6"/>
      <c r="C314" s="12"/>
      <c r="D314" s="6"/>
      <c r="E314" s="12"/>
      <c r="F314" s="6"/>
      <c r="G314" s="12"/>
    </row>
    <row r="315" spans="2:7" x14ac:dyDescent="0.25">
      <c r="B315" s="6"/>
      <c r="C315" s="12"/>
      <c r="D315" s="6"/>
      <c r="E315" s="12"/>
      <c r="F315" s="6"/>
      <c r="G315" s="12"/>
    </row>
    <row r="316" spans="2:7" x14ac:dyDescent="0.25">
      <c r="B316" s="6"/>
      <c r="C316" s="12"/>
      <c r="D316" s="6"/>
      <c r="E316" s="12"/>
      <c r="F316" s="6"/>
      <c r="G316" s="12"/>
    </row>
    <row r="317" spans="2:7" x14ac:dyDescent="0.25">
      <c r="B317" s="6"/>
      <c r="C317" s="12"/>
      <c r="D317" s="6"/>
      <c r="E317" s="12"/>
      <c r="F317" s="6"/>
      <c r="G317" s="12"/>
    </row>
    <row r="318" spans="2:7" x14ac:dyDescent="0.25">
      <c r="B318" s="6"/>
      <c r="C318" s="12"/>
      <c r="D318" s="6"/>
      <c r="E318" s="12"/>
      <c r="F318" s="6"/>
      <c r="G318" s="12"/>
    </row>
    <row r="319" spans="2:7" x14ac:dyDescent="0.25">
      <c r="B319" s="6"/>
      <c r="C319" s="12"/>
      <c r="D319" s="6"/>
      <c r="E319" s="12"/>
      <c r="F319" s="6"/>
      <c r="G319" s="12"/>
    </row>
    <row r="320" spans="2:7" x14ac:dyDescent="0.25">
      <c r="B320" s="6"/>
      <c r="C320" s="12"/>
      <c r="D320" s="6"/>
      <c r="E320" s="12"/>
      <c r="F320" s="6"/>
      <c r="G320" s="12"/>
    </row>
    <row r="321" spans="2:7" x14ac:dyDescent="0.25">
      <c r="B321" s="6"/>
      <c r="C321" s="12"/>
      <c r="D321" s="6"/>
      <c r="E321" s="12"/>
      <c r="F321" s="6"/>
      <c r="G321" s="12"/>
    </row>
    <row r="322" spans="2:7" x14ac:dyDescent="0.25">
      <c r="B322" s="6"/>
      <c r="C322" s="12"/>
      <c r="D322" s="6"/>
      <c r="E322" s="12"/>
      <c r="F322" s="6"/>
      <c r="G322" s="12"/>
    </row>
    <row r="323" spans="2:7" x14ac:dyDescent="0.25">
      <c r="B323" s="6"/>
      <c r="C323" s="12"/>
      <c r="D323" s="6"/>
      <c r="E323" s="12"/>
      <c r="F323" s="6"/>
      <c r="G323" s="12"/>
    </row>
    <row r="324" spans="2:7" x14ac:dyDescent="0.25">
      <c r="B324" s="6"/>
      <c r="C324" s="12"/>
      <c r="D324" s="6"/>
      <c r="E324" s="12"/>
      <c r="F324" s="6"/>
      <c r="G324" s="12"/>
    </row>
    <row r="325" spans="2:7" x14ac:dyDescent="0.25">
      <c r="B325" s="6"/>
      <c r="C325" s="12"/>
      <c r="D325" s="6"/>
      <c r="E325" s="12"/>
      <c r="F325" s="6"/>
      <c r="G325" s="12"/>
    </row>
    <row r="326" spans="2:7" x14ac:dyDescent="0.25">
      <c r="B326" s="6"/>
      <c r="C326" s="12"/>
      <c r="D326" s="6"/>
      <c r="E326" s="12"/>
      <c r="F326" s="6"/>
      <c r="G326" s="12"/>
    </row>
    <row r="327" spans="2:7" x14ac:dyDescent="0.25">
      <c r="B327" s="6"/>
      <c r="C327" s="12"/>
      <c r="D327" s="6"/>
      <c r="E327" s="12"/>
      <c r="F327" s="6"/>
      <c r="G327" s="12"/>
    </row>
    <row r="328" spans="2:7" x14ac:dyDescent="0.25">
      <c r="B328" s="6"/>
      <c r="C328" s="12"/>
      <c r="D328" s="6"/>
      <c r="E328" s="12"/>
      <c r="F328" s="6"/>
      <c r="G328" s="12"/>
    </row>
    <row r="329" spans="2:7" x14ac:dyDescent="0.25">
      <c r="B329" s="6"/>
      <c r="C329" s="12"/>
      <c r="D329" s="6"/>
      <c r="E329" s="12"/>
      <c r="F329" s="6"/>
      <c r="G329" s="12"/>
    </row>
    <row r="330" spans="2:7" x14ac:dyDescent="0.25">
      <c r="B330" s="6"/>
      <c r="C330" s="12"/>
      <c r="D330" s="6"/>
      <c r="E330" s="12"/>
      <c r="F330" s="6"/>
      <c r="G330" s="12"/>
    </row>
    <row r="331" spans="2:7" x14ac:dyDescent="0.25">
      <c r="B331" s="6"/>
      <c r="C331" s="12"/>
      <c r="D331" s="6"/>
      <c r="E331" s="12"/>
      <c r="F331" s="6"/>
      <c r="G331" s="12"/>
    </row>
    <row r="332" spans="2:7" x14ac:dyDescent="0.25">
      <c r="B332" s="6"/>
      <c r="C332" s="12"/>
      <c r="D332" s="6"/>
      <c r="E332" s="12"/>
      <c r="F332" s="6"/>
      <c r="G332" s="12"/>
    </row>
    <row r="333" spans="2:7" x14ac:dyDescent="0.25">
      <c r="B333" s="6"/>
      <c r="C333" s="12"/>
      <c r="D333" s="6"/>
      <c r="E333" s="12"/>
      <c r="F333" s="6"/>
      <c r="G333" s="12"/>
    </row>
    <row r="334" spans="2:7" x14ac:dyDescent="0.25">
      <c r="B334" s="6"/>
      <c r="C334" s="12"/>
      <c r="D334" s="6"/>
      <c r="E334" s="12"/>
      <c r="F334" s="6"/>
      <c r="G334" s="12"/>
    </row>
    <row r="335" spans="2:7" x14ac:dyDescent="0.25">
      <c r="B335" s="6"/>
      <c r="C335" s="12"/>
      <c r="D335" s="6"/>
      <c r="E335" s="12"/>
      <c r="F335" s="6"/>
      <c r="G335" s="12"/>
    </row>
    <row r="336" spans="2:7" x14ac:dyDescent="0.25">
      <c r="B336" s="6"/>
      <c r="C336" s="12"/>
      <c r="D336" s="6"/>
      <c r="E336" s="12"/>
      <c r="F336" s="6"/>
      <c r="G336" s="12"/>
    </row>
    <row r="337" spans="2:7" x14ac:dyDescent="0.25">
      <c r="B337" s="6"/>
      <c r="C337" s="12"/>
      <c r="D337" s="6"/>
      <c r="E337" s="12"/>
      <c r="F337" s="6"/>
      <c r="G337" s="12"/>
    </row>
    <row r="338" spans="2:7" x14ac:dyDescent="0.25">
      <c r="B338" s="6"/>
      <c r="C338" s="12"/>
      <c r="D338" s="6"/>
      <c r="E338" s="12"/>
      <c r="F338" s="6"/>
      <c r="G338" s="12"/>
    </row>
    <row r="339" spans="2:7" x14ac:dyDescent="0.25">
      <c r="B339" s="6"/>
      <c r="C339" s="12"/>
      <c r="D339" s="6"/>
      <c r="E339" s="12"/>
      <c r="F339" s="6"/>
      <c r="G339" s="12"/>
    </row>
    <row r="340" spans="2:7" x14ac:dyDescent="0.25">
      <c r="B340" s="6"/>
      <c r="C340" s="12"/>
      <c r="D340" s="6"/>
      <c r="E340" s="12"/>
      <c r="F340" s="6"/>
      <c r="G340" s="12"/>
    </row>
    <row r="341" spans="2:7" x14ac:dyDescent="0.25">
      <c r="B341" s="6"/>
      <c r="C341" s="12"/>
      <c r="D341" s="6"/>
      <c r="E341" s="12"/>
      <c r="F341" s="6"/>
      <c r="G341" s="12"/>
    </row>
    <row r="342" spans="2:7" x14ac:dyDescent="0.25">
      <c r="B342" s="6"/>
      <c r="C342" s="12"/>
      <c r="D342" s="6"/>
      <c r="E342" s="12"/>
      <c r="F342" s="6"/>
      <c r="G342" s="12"/>
    </row>
    <row r="343" spans="2:7" x14ac:dyDescent="0.25">
      <c r="B343" s="6"/>
      <c r="C343" s="12"/>
      <c r="D343" s="6"/>
      <c r="E343" s="12"/>
      <c r="F343" s="6"/>
      <c r="G343" s="12"/>
    </row>
    <row r="344" spans="2:7" x14ac:dyDescent="0.25">
      <c r="B344" s="6"/>
      <c r="C344" s="12"/>
      <c r="D344" s="6"/>
      <c r="E344" s="12"/>
      <c r="F344" s="6"/>
      <c r="G344" s="12"/>
    </row>
    <row r="345" spans="2:7" x14ac:dyDescent="0.25">
      <c r="B345" s="6"/>
      <c r="C345" s="12"/>
      <c r="D345" s="6"/>
      <c r="E345" s="12"/>
      <c r="F345" s="6"/>
      <c r="G345" s="12"/>
    </row>
    <row r="346" spans="2:7" x14ac:dyDescent="0.25">
      <c r="B346" s="6"/>
      <c r="C346" s="12"/>
      <c r="D346" s="6"/>
      <c r="E346" s="12"/>
      <c r="F346" s="6"/>
      <c r="G346" s="12"/>
    </row>
    <row r="347" spans="2:7" x14ac:dyDescent="0.25">
      <c r="B347" s="6"/>
      <c r="C347" s="12"/>
      <c r="D347" s="6"/>
      <c r="E347" s="12"/>
      <c r="F347" s="6"/>
      <c r="G347" s="12"/>
    </row>
    <row r="348" spans="2:7" x14ac:dyDescent="0.25">
      <c r="B348" s="6"/>
      <c r="C348" s="12"/>
      <c r="D348" s="6"/>
      <c r="E348" s="12"/>
      <c r="F348" s="6"/>
      <c r="G348" s="12"/>
    </row>
    <row r="349" spans="2:7" x14ac:dyDescent="0.25">
      <c r="B349" s="6"/>
      <c r="C349" s="12"/>
      <c r="D349" s="6"/>
      <c r="E349" s="12"/>
      <c r="F349" s="6"/>
      <c r="G349" s="12"/>
    </row>
    <row r="350" spans="2:7" x14ac:dyDescent="0.25">
      <c r="B350" s="6"/>
      <c r="C350" s="12"/>
      <c r="D350" s="6"/>
      <c r="E350" s="12"/>
      <c r="F350" s="6"/>
      <c r="G350" s="12"/>
    </row>
    <row r="351" spans="2:7" x14ac:dyDescent="0.25">
      <c r="B351" s="6"/>
      <c r="C351" s="12"/>
      <c r="D351" s="6"/>
      <c r="E351" s="12"/>
      <c r="F351" s="6"/>
      <c r="G351" s="12"/>
    </row>
    <row r="352" spans="2:7" x14ac:dyDescent="0.25">
      <c r="B352" s="6"/>
      <c r="C352" s="12"/>
      <c r="D352" s="6"/>
      <c r="E352" s="12"/>
      <c r="F352" s="6"/>
      <c r="G352" s="12"/>
    </row>
    <row r="353" spans="2:7" x14ac:dyDescent="0.25">
      <c r="B353" s="6"/>
      <c r="C353" s="12"/>
      <c r="D353" s="6"/>
      <c r="E353" s="12"/>
      <c r="F353" s="6"/>
      <c r="G353" s="12"/>
    </row>
    <row r="354" spans="2:7" x14ac:dyDescent="0.25">
      <c r="B354" s="6"/>
      <c r="C354" s="12"/>
      <c r="D354" s="6"/>
      <c r="E354" s="12"/>
      <c r="F354" s="6"/>
      <c r="G354" s="12"/>
    </row>
    <row r="355" spans="2:7" x14ac:dyDescent="0.25">
      <c r="B355" s="6"/>
      <c r="C355" s="12"/>
      <c r="D355" s="6"/>
      <c r="E355" s="12"/>
      <c r="F355" s="6"/>
      <c r="G355" s="12"/>
    </row>
    <row r="356" spans="2:7" x14ac:dyDescent="0.25">
      <c r="B356" s="6"/>
      <c r="C356" s="12"/>
      <c r="D356" s="6"/>
      <c r="E356" s="12"/>
      <c r="F356" s="6"/>
      <c r="G356" s="12"/>
    </row>
    <row r="357" spans="2:7" x14ac:dyDescent="0.25">
      <c r="B357" s="6"/>
      <c r="C357" s="12"/>
      <c r="D357" s="6"/>
      <c r="E357" s="12"/>
      <c r="F357" s="6"/>
      <c r="G357" s="12"/>
    </row>
    <row r="358" spans="2:7" x14ac:dyDescent="0.25">
      <c r="B358" s="6"/>
      <c r="C358" s="12"/>
      <c r="D358" s="6"/>
      <c r="E358" s="12"/>
      <c r="F358" s="6"/>
      <c r="G358" s="12"/>
    </row>
    <row r="359" spans="2:7" x14ac:dyDescent="0.25">
      <c r="B359" s="6"/>
      <c r="C359" s="12"/>
      <c r="D359" s="6"/>
      <c r="E359" s="12"/>
      <c r="F359" s="6"/>
      <c r="G359" s="12"/>
    </row>
    <row r="360" spans="2:7" x14ac:dyDescent="0.25">
      <c r="B360" s="6"/>
      <c r="C360" s="12"/>
      <c r="D360" s="6"/>
      <c r="E360" s="12"/>
      <c r="F360" s="6"/>
      <c r="G360" s="12"/>
    </row>
    <row r="361" spans="2:7" x14ac:dyDescent="0.25">
      <c r="B361" s="6"/>
      <c r="C361" s="12"/>
      <c r="D361" s="6"/>
      <c r="E361" s="12"/>
      <c r="F361" s="6"/>
      <c r="G361" s="12"/>
    </row>
    <row r="362" spans="2:7" x14ac:dyDescent="0.25">
      <c r="B362" s="6"/>
      <c r="C362" s="12"/>
      <c r="D362" s="6"/>
      <c r="E362" s="12"/>
      <c r="F362" s="6"/>
      <c r="G362" s="12"/>
    </row>
    <row r="363" spans="2:7" x14ac:dyDescent="0.25">
      <c r="B363" s="6"/>
      <c r="C363" s="12"/>
      <c r="D363" s="6"/>
      <c r="E363" s="12"/>
      <c r="F363" s="6"/>
      <c r="G363" s="12"/>
    </row>
    <row r="364" spans="2:7" x14ac:dyDescent="0.25">
      <c r="B364" s="6"/>
      <c r="C364" s="12"/>
      <c r="D364" s="6"/>
      <c r="E364" s="12"/>
      <c r="F364" s="6"/>
      <c r="G364" s="12"/>
    </row>
    <row r="365" spans="2:7" x14ac:dyDescent="0.25">
      <c r="B365" s="6"/>
      <c r="C365" s="12"/>
      <c r="D365" s="6"/>
      <c r="E365" s="12"/>
      <c r="F365" s="6"/>
      <c r="G365" s="12"/>
    </row>
    <row r="366" spans="2:7" x14ac:dyDescent="0.25">
      <c r="B366" s="6"/>
      <c r="C366" s="12"/>
      <c r="D366" s="6"/>
      <c r="E366" s="12"/>
      <c r="F366" s="6"/>
      <c r="G366" s="12"/>
    </row>
    <row r="367" spans="2:7" x14ac:dyDescent="0.25">
      <c r="B367" s="6"/>
      <c r="C367" s="12"/>
      <c r="D367" s="6"/>
      <c r="E367" s="12"/>
      <c r="F367" s="6"/>
      <c r="G367" s="12"/>
    </row>
    <row r="368" spans="2:7" x14ac:dyDescent="0.25">
      <c r="B368" s="6"/>
      <c r="C368" s="12"/>
      <c r="D368" s="6"/>
      <c r="E368" s="12"/>
      <c r="F368" s="6"/>
      <c r="G368" s="12"/>
    </row>
    <row r="369" spans="2:7" x14ac:dyDescent="0.25">
      <c r="B369" s="6"/>
      <c r="C369" s="12"/>
      <c r="D369" s="6"/>
      <c r="E369" s="12"/>
      <c r="F369" s="6"/>
      <c r="G369" s="12"/>
    </row>
    <row r="370" spans="2:7" x14ac:dyDescent="0.25">
      <c r="B370" s="6"/>
      <c r="C370" s="12"/>
      <c r="D370" s="6"/>
      <c r="E370" s="12"/>
      <c r="F370" s="6"/>
      <c r="G370" s="12"/>
    </row>
    <row r="371" spans="2:7" x14ac:dyDescent="0.25">
      <c r="B371" s="6"/>
      <c r="C371" s="12"/>
      <c r="D371" s="6"/>
      <c r="E371" s="12"/>
      <c r="F371" s="6"/>
      <c r="G371" s="12"/>
    </row>
    <row r="372" spans="2:7" x14ac:dyDescent="0.25">
      <c r="B372" s="6"/>
      <c r="C372" s="12"/>
      <c r="D372" s="6"/>
      <c r="E372" s="12"/>
      <c r="F372" s="6"/>
      <c r="G372" s="12"/>
    </row>
    <row r="373" spans="2:7" x14ac:dyDescent="0.25">
      <c r="B373" s="6"/>
      <c r="C373" s="12"/>
      <c r="D373" s="6"/>
      <c r="E373" s="12"/>
      <c r="F373" s="6"/>
      <c r="G373" s="12"/>
    </row>
    <row r="374" spans="2:7" x14ac:dyDescent="0.25">
      <c r="B374" s="6"/>
      <c r="C374" s="12"/>
      <c r="D374" s="6"/>
      <c r="E374" s="12"/>
      <c r="F374" s="6"/>
      <c r="G374" s="12"/>
    </row>
    <row r="375" spans="2:7" x14ac:dyDescent="0.25">
      <c r="B375" s="6"/>
      <c r="C375" s="12"/>
      <c r="D375" s="6"/>
      <c r="E375" s="12"/>
      <c r="F375" s="6"/>
      <c r="G375" s="12"/>
    </row>
    <row r="376" spans="2:7" x14ac:dyDescent="0.25">
      <c r="B376" s="6"/>
      <c r="C376" s="12"/>
      <c r="D376" s="6"/>
      <c r="E376" s="12"/>
      <c r="F376" s="6"/>
      <c r="G376" s="12"/>
    </row>
    <row r="377" spans="2:7" x14ac:dyDescent="0.25">
      <c r="B377" s="6"/>
      <c r="C377" s="12"/>
      <c r="D377" s="6"/>
      <c r="E377" s="12"/>
      <c r="F377" s="6"/>
      <c r="G377" s="12"/>
    </row>
    <row r="378" spans="2:7" x14ac:dyDescent="0.25">
      <c r="B378" s="6"/>
      <c r="C378" s="12"/>
      <c r="D378" s="6"/>
      <c r="E378" s="12"/>
      <c r="F378" s="6"/>
      <c r="G378" s="12"/>
    </row>
    <row r="379" spans="2:7" x14ac:dyDescent="0.25">
      <c r="B379" s="6"/>
      <c r="C379" s="12"/>
      <c r="D379" s="6"/>
      <c r="E379" s="12"/>
      <c r="F379" s="6"/>
      <c r="G379" s="12"/>
    </row>
    <row r="380" spans="2:7" x14ac:dyDescent="0.25">
      <c r="B380" s="6"/>
      <c r="C380" s="12"/>
      <c r="D380" s="6"/>
      <c r="E380" s="12"/>
      <c r="F380" s="6"/>
      <c r="G380" s="12"/>
    </row>
    <row r="381" spans="2:7" x14ac:dyDescent="0.25">
      <c r="B381" s="6"/>
      <c r="C381" s="12"/>
      <c r="D381" s="6"/>
      <c r="E381" s="12"/>
      <c r="F381" s="6"/>
      <c r="G381" s="12"/>
    </row>
    <row r="382" spans="2:7" x14ac:dyDescent="0.25">
      <c r="B382" s="6"/>
      <c r="C382" s="12"/>
      <c r="D382" s="6"/>
      <c r="E382" s="12"/>
      <c r="F382" s="6"/>
      <c r="G382" s="12"/>
    </row>
    <row r="383" spans="2:7" x14ac:dyDescent="0.25">
      <c r="B383" s="6"/>
      <c r="C383" s="12"/>
      <c r="D383" s="6"/>
      <c r="E383" s="12"/>
      <c r="F383" s="6"/>
      <c r="G383" s="12"/>
    </row>
    <row r="384" spans="2:7" x14ac:dyDescent="0.25">
      <c r="B384" s="6"/>
      <c r="C384" s="12"/>
      <c r="D384" s="6"/>
      <c r="E384" s="12"/>
      <c r="F384" s="6"/>
      <c r="G384" s="12"/>
    </row>
    <row r="385" spans="2:7" x14ac:dyDescent="0.25">
      <c r="B385" s="6"/>
      <c r="C385" s="12"/>
      <c r="D385" s="6"/>
      <c r="E385" s="12"/>
      <c r="F385" s="6"/>
      <c r="G385" s="12"/>
    </row>
    <row r="386" spans="2:7" x14ac:dyDescent="0.25">
      <c r="B386" s="6"/>
      <c r="C386" s="12"/>
      <c r="D386" s="6"/>
      <c r="E386" s="12"/>
      <c r="F386" s="6"/>
      <c r="G386" s="12"/>
    </row>
    <row r="387" spans="2:7" x14ac:dyDescent="0.25">
      <c r="B387" s="6"/>
      <c r="C387" s="12"/>
      <c r="D387" s="6"/>
      <c r="E387" s="12"/>
      <c r="F387" s="6"/>
      <c r="G387" s="12"/>
    </row>
    <row r="388" spans="2:7" x14ac:dyDescent="0.25">
      <c r="B388" s="6"/>
      <c r="C388" s="12"/>
      <c r="D388" s="6"/>
      <c r="E388" s="12"/>
      <c r="F388" s="6"/>
      <c r="G388" s="12"/>
    </row>
    <row r="389" spans="2:7" x14ac:dyDescent="0.25">
      <c r="B389" s="6"/>
      <c r="C389" s="12"/>
      <c r="D389" s="6"/>
      <c r="E389" s="12"/>
      <c r="F389" s="6"/>
      <c r="G389" s="12"/>
    </row>
    <row r="390" spans="2:7" x14ac:dyDescent="0.25">
      <c r="B390" s="6"/>
      <c r="C390" s="12"/>
      <c r="D390" s="6"/>
      <c r="E390" s="12"/>
      <c r="F390" s="6"/>
      <c r="G390" s="12"/>
    </row>
    <row r="391" spans="2:7" x14ac:dyDescent="0.25">
      <c r="B391" s="6"/>
      <c r="C391" s="12"/>
      <c r="D391" s="6"/>
      <c r="E391" s="12"/>
      <c r="F391" s="6"/>
      <c r="G391" s="12"/>
    </row>
    <row r="392" spans="2:7" x14ac:dyDescent="0.25">
      <c r="B392" s="6"/>
      <c r="C392" s="12"/>
      <c r="D392" s="6"/>
      <c r="E392" s="12"/>
      <c r="F392" s="6"/>
      <c r="G392" s="12"/>
    </row>
    <row r="393" spans="2:7" x14ac:dyDescent="0.25">
      <c r="B393" s="6"/>
      <c r="C393" s="12"/>
      <c r="D393" s="6"/>
      <c r="E393" s="12"/>
      <c r="F393" s="6"/>
      <c r="G393" s="12"/>
    </row>
    <row r="394" spans="2:7" x14ac:dyDescent="0.25">
      <c r="B394" s="6"/>
      <c r="C394" s="12"/>
      <c r="D394" s="6"/>
      <c r="E394" s="12"/>
      <c r="F394" s="6"/>
      <c r="G394" s="12"/>
    </row>
    <row r="395" spans="2:7" x14ac:dyDescent="0.25">
      <c r="B395" s="6"/>
      <c r="C395" s="12"/>
      <c r="D395" s="6"/>
      <c r="E395" s="12"/>
      <c r="F395" s="6"/>
      <c r="G395" s="12"/>
    </row>
    <row r="396" spans="2:7" x14ac:dyDescent="0.25">
      <c r="B396" s="6"/>
      <c r="C396" s="12"/>
      <c r="D396" s="6"/>
      <c r="E396" s="12"/>
      <c r="F396" s="6"/>
      <c r="G396" s="12"/>
    </row>
    <row r="397" spans="2:7" x14ac:dyDescent="0.25">
      <c r="B397" s="6"/>
      <c r="C397" s="12"/>
      <c r="D397" s="6"/>
      <c r="E397" s="12"/>
      <c r="F397" s="6"/>
      <c r="G397" s="12"/>
    </row>
    <row r="398" spans="2:7" x14ac:dyDescent="0.25">
      <c r="B398" s="6"/>
      <c r="C398" s="12"/>
      <c r="D398" s="6"/>
      <c r="E398" s="12"/>
      <c r="F398" s="6"/>
      <c r="G398" s="12"/>
    </row>
    <row r="399" spans="2:7" x14ac:dyDescent="0.25">
      <c r="B399" s="6"/>
      <c r="C399" s="12"/>
      <c r="D399" s="6"/>
      <c r="E399" s="12"/>
      <c r="F399" s="6"/>
      <c r="G399" s="12"/>
    </row>
    <row r="400" spans="2:7" x14ac:dyDescent="0.25">
      <c r="B400" s="6"/>
      <c r="C400" s="12"/>
      <c r="D400" s="6"/>
      <c r="E400" s="12"/>
      <c r="F400" s="6"/>
      <c r="G400" s="12"/>
    </row>
    <row r="401" spans="2:7" x14ac:dyDescent="0.25">
      <c r="B401" s="6"/>
      <c r="C401" s="12"/>
      <c r="D401" s="6"/>
      <c r="E401" s="12"/>
      <c r="F401" s="6"/>
      <c r="G401" s="12"/>
    </row>
    <row r="402" spans="2:7" x14ac:dyDescent="0.25">
      <c r="B402" s="6"/>
      <c r="C402" s="12"/>
      <c r="D402" s="6"/>
      <c r="E402" s="12"/>
      <c r="F402" s="6"/>
      <c r="G402" s="12"/>
    </row>
    <row r="403" spans="2:7" x14ac:dyDescent="0.25">
      <c r="B403" s="6"/>
      <c r="C403" s="12"/>
      <c r="D403" s="6"/>
      <c r="E403" s="12"/>
      <c r="F403" s="6"/>
      <c r="G403" s="12"/>
    </row>
    <row r="404" spans="2:7" x14ac:dyDescent="0.25">
      <c r="B404" s="6"/>
      <c r="C404" s="12"/>
      <c r="D404" s="6"/>
      <c r="E404" s="12"/>
      <c r="F404" s="6"/>
      <c r="G404" s="12"/>
    </row>
    <row r="405" spans="2:7" x14ac:dyDescent="0.25">
      <c r="B405" s="6"/>
      <c r="C405" s="12"/>
      <c r="D405" s="6"/>
      <c r="E405" s="12"/>
      <c r="F405" s="6"/>
      <c r="G405" s="12"/>
    </row>
    <row r="406" spans="2:7" x14ac:dyDescent="0.25">
      <c r="B406" s="6"/>
      <c r="C406" s="12"/>
      <c r="D406" s="6"/>
      <c r="E406" s="12"/>
      <c r="F406" s="6"/>
      <c r="G406" s="12"/>
    </row>
    <row r="407" spans="2:7" x14ac:dyDescent="0.25">
      <c r="B407" s="6"/>
      <c r="C407" s="12"/>
      <c r="D407" s="6"/>
      <c r="E407" s="12"/>
      <c r="F407" s="6"/>
      <c r="G407" s="12"/>
    </row>
    <row r="408" spans="2:7" x14ac:dyDescent="0.25">
      <c r="B408" s="6"/>
      <c r="C408" s="12"/>
      <c r="D408" s="6"/>
      <c r="E408" s="12"/>
      <c r="F408" s="6"/>
      <c r="G408" s="12"/>
    </row>
    <row r="409" spans="2:7" x14ac:dyDescent="0.25">
      <c r="B409" s="6"/>
      <c r="C409" s="12"/>
      <c r="D409" s="6"/>
      <c r="E409" s="12"/>
      <c r="F409" s="6"/>
      <c r="G409" s="12"/>
    </row>
    <row r="410" spans="2:7" x14ac:dyDescent="0.25">
      <c r="B410" s="6"/>
      <c r="C410" s="12"/>
      <c r="D410" s="6"/>
      <c r="E410" s="12"/>
      <c r="F410" s="6"/>
      <c r="G410" s="12"/>
    </row>
    <row r="411" spans="2:7" x14ac:dyDescent="0.25">
      <c r="B411" s="6"/>
      <c r="C411" s="12"/>
      <c r="D411" s="6"/>
      <c r="E411" s="12"/>
      <c r="F411" s="6"/>
      <c r="G411" s="12"/>
    </row>
    <row r="412" spans="2:7" x14ac:dyDescent="0.25">
      <c r="B412" s="6"/>
      <c r="C412" s="12"/>
      <c r="D412" s="6"/>
      <c r="E412" s="12"/>
      <c r="F412" s="6"/>
      <c r="G412" s="12"/>
    </row>
    <row r="413" spans="2:7" x14ac:dyDescent="0.25">
      <c r="B413" s="6"/>
      <c r="C413" s="12"/>
      <c r="D413" s="6"/>
      <c r="E413" s="12"/>
      <c r="F413" s="6"/>
      <c r="G413" s="12"/>
    </row>
    <row r="414" spans="2:7" x14ac:dyDescent="0.25">
      <c r="B414" s="6"/>
      <c r="C414" s="12"/>
      <c r="D414" s="6"/>
      <c r="E414" s="12"/>
      <c r="F414" s="6"/>
      <c r="G414" s="12"/>
    </row>
    <row r="415" spans="2:7" x14ac:dyDescent="0.25">
      <c r="B415" s="6"/>
      <c r="C415" s="12"/>
      <c r="D415" s="6"/>
      <c r="E415" s="12"/>
      <c r="F415" s="6"/>
      <c r="G415" s="12"/>
    </row>
    <row r="416" spans="2:7" x14ac:dyDescent="0.25">
      <c r="B416" s="6"/>
      <c r="C416" s="12"/>
      <c r="D416" s="6"/>
      <c r="E416" s="12"/>
      <c r="F416" s="6"/>
      <c r="G416" s="12"/>
    </row>
    <row r="417" spans="2:7" x14ac:dyDescent="0.25">
      <c r="B417" s="6"/>
      <c r="C417" s="12"/>
      <c r="D417" s="6"/>
      <c r="E417" s="12"/>
      <c r="F417" s="6"/>
      <c r="G417" s="12"/>
    </row>
    <row r="418" spans="2:7" x14ac:dyDescent="0.25">
      <c r="B418" s="6"/>
      <c r="C418" s="12"/>
      <c r="D418" s="6"/>
      <c r="E418" s="12"/>
      <c r="F418" s="6"/>
      <c r="G418" s="12"/>
    </row>
    <row r="419" spans="2:7" x14ac:dyDescent="0.25">
      <c r="B419" s="6"/>
      <c r="C419" s="12"/>
      <c r="D419" s="6"/>
      <c r="E419" s="12"/>
      <c r="F419" s="6"/>
      <c r="G419" s="12"/>
    </row>
    <row r="420" spans="2:7" x14ac:dyDescent="0.25">
      <c r="B420" s="6"/>
      <c r="C420" s="12"/>
      <c r="D420" s="6"/>
      <c r="E420" s="12"/>
      <c r="F420" s="6"/>
      <c r="G420" s="12"/>
    </row>
    <row r="421" spans="2:7" x14ac:dyDescent="0.25">
      <c r="B421" s="6"/>
      <c r="C421" s="12"/>
      <c r="D421" s="6"/>
      <c r="E421" s="12"/>
      <c r="F421" s="6"/>
      <c r="G421" s="12"/>
    </row>
    <row r="422" spans="2:7" x14ac:dyDescent="0.25">
      <c r="B422" s="6"/>
      <c r="C422" s="12"/>
      <c r="D422" s="6"/>
      <c r="E422" s="12"/>
      <c r="F422" s="6"/>
      <c r="G422" s="12"/>
    </row>
    <row r="423" spans="2:7" x14ac:dyDescent="0.25">
      <c r="B423" s="6"/>
      <c r="C423" s="12"/>
      <c r="D423" s="6"/>
      <c r="E423" s="12"/>
      <c r="F423" s="6"/>
      <c r="G423" s="12"/>
    </row>
    <row r="424" spans="2:7" x14ac:dyDescent="0.25">
      <c r="B424" s="6"/>
      <c r="C424" s="12"/>
      <c r="D424" s="6"/>
      <c r="E424" s="12"/>
      <c r="F424" s="6"/>
      <c r="G424" s="12"/>
    </row>
    <row r="425" spans="2:7" x14ac:dyDescent="0.25">
      <c r="B425" s="6"/>
      <c r="C425" s="12"/>
      <c r="D425" s="6"/>
      <c r="E425" s="12"/>
      <c r="F425" s="6"/>
      <c r="G425" s="12"/>
    </row>
    <row r="426" spans="2:7" x14ac:dyDescent="0.25">
      <c r="B426" s="6"/>
      <c r="C426" s="12"/>
      <c r="D426" s="6"/>
      <c r="E426" s="12"/>
      <c r="F426" s="6"/>
      <c r="G426" s="12"/>
    </row>
    <row r="427" spans="2:7" x14ac:dyDescent="0.25">
      <c r="B427" s="6"/>
      <c r="C427" s="12"/>
      <c r="D427" s="6"/>
      <c r="E427" s="12"/>
      <c r="F427" s="6"/>
      <c r="G427" s="12"/>
    </row>
    <row r="428" spans="2:7" x14ac:dyDescent="0.25">
      <c r="B428" s="6"/>
      <c r="C428" s="12"/>
      <c r="D428" s="6"/>
      <c r="E428" s="12"/>
      <c r="F428" s="6"/>
      <c r="G428" s="12"/>
    </row>
    <row r="429" spans="2:7" x14ac:dyDescent="0.25">
      <c r="B429" s="6"/>
      <c r="C429" s="12"/>
      <c r="D429" s="6"/>
      <c r="E429" s="12"/>
      <c r="F429" s="6"/>
      <c r="G429" s="12"/>
    </row>
    <row r="430" spans="2:7" x14ac:dyDescent="0.25">
      <c r="B430" s="6"/>
      <c r="C430" s="12"/>
      <c r="D430" s="6"/>
      <c r="E430" s="12"/>
      <c r="F430" s="6"/>
      <c r="G430" s="12"/>
    </row>
    <row r="431" spans="2:7" x14ac:dyDescent="0.25">
      <c r="B431" s="6"/>
      <c r="C431" s="12"/>
      <c r="D431" s="6"/>
      <c r="E431" s="12"/>
      <c r="F431" s="6"/>
      <c r="G431" s="12"/>
    </row>
    <row r="432" spans="2:7" x14ac:dyDescent="0.25">
      <c r="B432" s="6"/>
      <c r="C432" s="12"/>
      <c r="D432" s="6"/>
      <c r="E432" s="12"/>
      <c r="F432" s="6"/>
      <c r="G432" s="12"/>
    </row>
    <row r="433" spans="2:7" x14ac:dyDescent="0.25">
      <c r="B433" s="6"/>
      <c r="C433" s="12"/>
      <c r="D433" s="6"/>
      <c r="E433" s="12"/>
      <c r="F433" s="6"/>
      <c r="G433" s="12"/>
    </row>
    <row r="434" spans="2:7" x14ac:dyDescent="0.25">
      <c r="B434" s="6"/>
      <c r="C434" s="12"/>
      <c r="D434" s="6"/>
      <c r="E434" s="12"/>
      <c r="F434" s="6"/>
      <c r="G434" s="12"/>
    </row>
    <row r="435" spans="2:7" x14ac:dyDescent="0.25">
      <c r="B435" s="6"/>
      <c r="C435" s="12"/>
      <c r="D435" s="6"/>
      <c r="E435" s="12"/>
      <c r="F435" s="6"/>
      <c r="G435" s="12"/>
    </row>
    <row r="436" spans="2:7" x14ac:dyDescent="0.25">
      <c r="B436" s="6"/>
      <c r="C436" s="12"/>
      <c r="D436" s="6"/>
      <c r="E436" s="12"/>
      <c r="F436" s="6"/>
      <c r="G436" s="12"/>
    </row>
    <row r="437" spans="2:7" x14ac:dyDescent="0.25">
      <c r="B437" s="6"/>
      <c r="C437" s="12"/>
      <c r="D437" s="6"/>
      <c r="E437" s="12"/>
      <c r="F437" s="6"/>
      <c r="G437" s="12"/>
    </row>
    <row r="438" spans="2:7" x14ac:dyDescent="0.25">
      <c r="B438" s="6"/>
      <c r="C438" s="12"/>
      <c r="D438" s="6"/>
      <c r="E438" s="12"/>
      <c r="F438" s="6"/>
      <c r="G438" s="12"/>
    </row>
    <row r="439" spans="2:7" x14ac:dyDescent="0.25">
      <c r="B439" s="6"/>
      <c r="C439" s="12"/>
      <c r="D439" s="6"/>
      <c r="E439" s="12"/>
      <c r="F439" s="6"/>
      <c r="G439" s="12"/>
    </row>
    <row r="440" spans="2:7" x14ac:dyDescent="0.25">
      <c r="B440" s="6"/>
      <c r="C440" s="12"/>
      <c r="D440" s="6"/>
      <c r="E440" s="12"/>
      <c r="F440" s="6"/>
      <c r="G440" s="12"/>
    </row>
    <row r="441" spans="2:7" x14ac:dyDescent="0.25">
      <c r="B441" s="6"/>
      <c r="C441" s="12"/>
      <c r="D441" s="6"/>
      <c r="E441" s="12"/>
      <c r="F441" s="6"/>
      <c r="G441" s="12"/>
    </row>
    <row r="442" spans="2:7" x14ac:dyDescent="0.25">
      <c r="B442" s="6"/>
      <c r="C442" s="12"/>
      <c r="D442" s="6"/>
      <c r="E442" s="12"/>
      <c r="F442" s="6"/>
      <c r="G442" s="12"/>
    </row>
    <row r="443" spans="2:7" x14ac:dyDescent="0.25">
      <c r="B443" s="6"/>
      <c r="C443" s="12"/>
      <c r="D443" s="6"/>
      <c r="E443" s="12"/>
      <c r="F443" s="6"/>
      <c r="G443" s="12"/>
    </row>
    <row r="444" spans="2:7" x14ac:dyDescent="0.25">
      <c r="B444" s="6"/>
      <c r="C444" s="12"/>
      <c r="D444" s="6"/>
      <c r="E444" s="12"/>
      <c r="F444" s="6"/>
      <c r="G444" s="12"/>
    </row>
    <row r="445" spans="2:7" x14ac:dyDescent="0.25">
      <c r="B445" s="6"/>
      <c r="C445" s="12"/>
      <c r="D445" s="6"/>
      <c r="E445" s="12"/>
      <c r="F445" s="6"/>
      <c r="G445" s="12"/>
    </row>
    <row r="446" spans="2:7" x14ac:dyDescent="0.25">
      <c r="B446" s="6"/>
      <c r="C446" s="12"/>
      <c r="D446" s="6"/>
      <c r="E446" s="12"/>
      <c r="F446" s="6"/>
      <c r="G446" s="12"/>
    </row>
    <row r="447" spans="2:7" x14ac:dyDescent="0.25">
      <c r="B447" s="6"/>
      <c r="C447" s="12"/>
      <c r="D447" s="6"/>
      <c r="E447" s="12"/>
      <c r="F447" s="6"/>
      <c r="G447" s="12"/>
    </row>
    <row r="448" spans="2:7" x14ac:dyDescent="0.25">
      <c r="B448" s="6"/>
      <c r="C448" s="12"/>
      <c r="D448" s="6"/>
      <c r="E448" s="12"/>
      <c r="F448" s="6"/>
      <c r="G448" s="12"/>
    </row>
    <row r="449" spans="2:7" x14ac:dyDescent="0.25">
      <c r="B449" s="6"/>
      <c r="C449" s="12"/>
      <c r="D449" s="6"/>
      <c r="E449" s="12"/>
      <c r="F449" s="6"/>
      <c r="G449" s="12"/>
    </row>
    <row r="450" spans="2:7" x14ac:dyDescent="0.25">
      <c r="B450" s="6"/>
      <c r="C450" s="12"/>
      <c r="D450" s="6"/>
      <c r="E450" s="12"/>
      <c r="F450" s="6"/>
      <c r="G450" s="12"/>
    </row>
    <row r="451" spans="2:7" x14ac:dyDescent="0.25">
      <c r="B451" s="6"/>
      <c r="C451" s="12"/>
      <c r="D451" s="6"/>
      <c r="E451" s="12"/>
      <c r="F451" s="6"/>
      <c r="G451" s="12"/>
    </row>
    <row r="452" spans="2:7" x14ac:dyDescent="0.25">
      <c r="B452" s="6"/>
      <c r="C452" s="12"/>
      <c r="D452" s="6"/>
      <c r="E452" s="12"/>
      <c r="F452" s="6"/>
      <c r="G452" s="12"/>
    </row>
    <row r="453" spans="2:7" x14ac:dyDescent="0.25">
      <c r="B453" s="6"/>
      <c r="C453" s="12"/>
      <c r="D453" s="6"/>
      <c r="E453" s="12"/>
      <c r="F453" s="6"/>
      <c r="G453" s="12"/>
    </row>
    <row r="454" spans="2:7" x14ac:dyDescent="0.25">
      <c r="B454" s="6"/>
      <c r="C454" s="12"/>
      <c r="D454" s="6"/>
      <c r="E454" s="12"/>
      <c r="F454" s="6"/>
      <c r="G454" s="12"/>
    </row>
    <row r="455" spans="2:7" x14ac:dyDescent="0.25">
      <c r="B455" s="6"/>
      <c r="C455" s="12"/>
      <c r="D455" s="6"/>
      <c r="E455" s="12"/>
      <c r="F455" s="6"/>
      <c r="G455" s="12"/>
    </row>
    <row r="456" spans="2:7" x14ac:dyDescent="0.25">
      <c r="B456" s="6"/>
      <c r="C456" s="12"/>
      <c r="D456" s="6"/>
      <c r="E456" s="12"/>
      <c r="F456" s="6"/>
      <c r="G456" s="12"/>
    </row>
    <row r="457" spans="2:7" x14ac:dyDescent="0.25">
      <c r="B457" s="6"/>
      <c r="C457" s="12"/>
      <c r="D457" s="6"/>
      <c r="E457" s="12"/>
      <c r="F457" s="6"/>
      <c r="G457" s="12"/>
    </row>
    <row r="458" spans="2:7" x14ac:dyDescent="0.25">
      <c r="B458" s="6"/>
      <c r="C458" s="12"/>
      <c r="D458" s="6"/>
      <c r="E458" s="12"/>
      <c r="F458" s="6"/>
      <c r="G458" s="12"/>
    </row>
    <row r="459" spans="2:7" x14ac:dyDescent="0.25">
      <c r="B459" s="6"/>
      <c r="C459" s="12"/>
      <c r="D459" s="6"/>
      <c r="E459" s="12"/>
      <c r="F459" s="6"/>
      <c r="G459" s="12"/>
    </row>
    <row r="460" spans="2:7" x14ac:dyDescent="0.25">
      <c r="B460" s="6"/>
      <c r="C460" s="12"/>
      <c r="D460" s="6"/>
      <c r="E460" s="12"/>
      <c r="F460" s="6"/>
      <c r="G460" s="12"/>
    </row>
    <row r="461" spans="2:7" x14ac:dyDescent="0.25">
      <c r="B461" s="6"/>
      <c r="C461" s="12"/>
      <c r="D461" s="6"/>
      <c r="E461" s="12"/>
      <c r="F461" s="6"/>
      <c r="G461" s="12"/>
    </row>
    <row r="462" spans="2:7" x14ac:dyDescent="0.25">
      <c r="B462" s="6"/>
      <c r="C462" s="12"/>
      <c r="D462" s="6"/>
      <c r="E462" s="12"/>
      <c r="F462" s="6"/>
      <c r="G462" s="12"/>
    </row>
    <row r="463" spans="2:7" x14ac:dyDescent="0.25">
      <c r="B463" s="6"/>
      <c r="C463" s="12"/>
      <c r="D463" s="6"/>
      <c r="E463" s="12"/>
      <c r="F463" s="6"/>
      <c r="G463" s="12"/>
    </row>
    <row r="464" spans="2:7" x14ac:dyDescent="0.25">
      <c r="B464" s="6"/>
      <c r="C464" s="12"/>
      <c r="D464" s="6"/>
      <c r="E464" s="12"/>
      <c r="F464" s="6"/>
      <c r="G464" s="12"/>
    </row>
    <row r="465" spans="2:7" x14ac:dyDescent="0.25">
      <c r="B465" s="6"/>
      <c r="C465" s="12"/>
      <c r="D465" s="6"/>
      <c r="E465" s="12"/>
      <c r="F465" s="6"/>
      <c r="G465" s="12"/>
    </row>
    <row r="466" spans="2:7" x14ac:dyDescent="0.25">
      <c r="B466" s="6"/>
      <c r="C466" s="12"/>
      <c r="D466" s="6"/>
      <c r="E466" s="12"/>
      <c r="F466" s="6"/>
      <c r="G466" s="12"/>
    </row>
    <row r="467" spans="2:7" x14ac:dyDescent="0.25">
      <c r="B467" s="6"/>
      <c r="C467" s="12"/>
      <c r="D467" s="6"/>
      <c r="E467" s="12"/>
      <c r="F467" s="6"/>
      <c r="G467" s="12"/>
    </row>
    <row r="468" spans="2:7" x14ac:dyDescent="0.25">
      <c r="B468" s="6"/>
      <c r="C468" s="12"/>
      <c r="D468" s="6"/>
      <c r="E468" s="12"/>
      <c r="F468" s="6"/>
      <c r="G468" s="12"/>
    </row>
    <row r="469" spans="2:7" x14ac:dyDescent="0.25">
      <c r="B469" s="6"/>
      <c r="C469" s="12"/>
      <c r="D469" s="6"/>
      <c r="E469" s="12"/>
      <c r="F469" s="6"/>
      <c r="G469" s="12"/>
    </row>
    <row r="470" spans="2:7" x14ac:dyDescent="0.25">
      <c r="B470" s="6"/>
      <c r="C470" s="12"/>
      <c r="D470" s="6"/>
      <c r="E470" s="12"/>
      <c r="F470" s="6"/>
      <c r="G470" s="12"/>
    </row>
    <row r="471" spans="2:7" x14ac:dyDescent="0.25">
      <c r="B471" s="6"/>
      <c r="C471" s="12"/>
      <c r="D471" s="6"/>
      <c r="E471" s="12"/>
      <c r="F471" s="6"/>
      <c r="G471" s="12"/>
    </row>
    <row r="472" spans="2:7" x14ac:dyDescent="0.25">
      <c r="B472" s="6"/>
      <c r="C472" s="12"/>
      <c r="D472" s="6"/>
      <c r="E472" s="12"/>
      <c r="F472" s="6"/>
      <c r="G472" s="12"/>
    </row>
    <row r="473" spans="2:7" x14ac:dyDescent="0.25">
      <c r="B473" s="6"/>
      <c r="C473" s="12"/>
      <c r="D473" s="6"/>
      <c r="E473" s="12"/>
      <c r="F473" s="6"/>
      <c r="G473" s="12"/>
    </row>
    <row r="474" spans="2:7" x14ac:dyDescent="0.25">
      <c r="B474" s="6"/>
      <c r="C474" s="12"/>
      <c r="D474" s="6"/>
      <c r="E474" s="12"/>
      <c r="F474" s="6"/>
      <c r="G474" s="12"/>
    </row>
    <row r="475" spans="2:7" x14ac:dyDescent="0.25">
      <c r="B475" s="6"/>
      <c r="C475" s="12"/>
      <c r="D475" s="6"/>
      <c r="E475" s="12"/>
      <c r="F475" s="6"/>
      <c r="G475" s="12"/>
    </row>
    <row r="476" spans="2:7" x14ac:dyDescent="0.25">
      <c r="B476" s="6"/>
      <c r="C476" s="12"/>
      <c r="D476" s="6"/>
      <c r="E476" s="12"/>
      <c r="F476" s="6"/>
      <c r="G476" s="12"/>
    </row>
    <row r="477" spans="2:7" x14ac:dyDescent="0.25">
      <c r="B477" s="6"/>
      <c r="C477" s="12"/>
      <c r="D477" s="6"/>
      <c r="E477" s="12"/>
      <c r="F477" s="6"/>
      <c r="G477" s="12"/>
    </row>
    <row r="478" spans="2:7" x14ac:dyDescent="0.25">
      <c r="B478" s="6"/>
      <c r="C478" s="12"/>
      <c r="D478" s="6"/>
      <c r="E478" s="12"/>
      <c r="F478" s="6"/>
      <c r="G478" s="12"/>
    </row>
    <row r="479" spans="2:7" x14ac:dyDescent="0.25">
      <c r="B479" s="6"/>
      <c r="C479" s="12"/>
      <c r="D479" s="6"/>
      <c r="E479" s="12"/>
      <c r="F479" s="6"/>
      <c r="G479" s="12"/>
    </row>
    <row r="480" spans="2:7" x14ac:dyDescent="0.25">
      <c r="B480" s="6"/>
      <c r="C480" s="12"/>
      <c r="D480" s="6"/>
      <c r="E480" s="12"/>
      <c r="F480" s="6"/>
      <c r="G480" s="12"/>
    </row>
    <row r="481" spans="2:7" x14ac:dyDescent="0.25">
      <c r="B481" s="6"/>
      <c r="C481" s="12"/>
      <c r="D481" s="6"/>
      <c r="E481" s="12"/>
      <c r="F481" s="6"/>
      <c r="G481" s="12"/>
    </row>
    <row r="482" spans="2:7" x14ac:dyDescent="0.25">
      <c r="B482" s="6"/>
      <c r="C482" s="12"/>
      <c r="D482" s="6"/>
      <c r="E482" s="12"/>
      <c r="F482" s="6"/>
      <c r="G482" s="12"/>
    </row>
    <row r="483" spans="2:7" x14ac:dyDescent="0.25">
      <c r="B483" s="6"/>
      <c r="C483" s="12"/>
      <c r="D483" s="6"/>
      <c r="E483" s="12"/>
      <c r="F483" s="6"/>
      <c r="G483" s="12"/>
    </row>
    <row r="484" spans="2:7" x14ac:dyDescent="0.25">
      <c r="B484" s="6"/>
      <c r="C484" s="12"/>
      <c r="D484" s="6"/>
      <c r="E484" s="12"/>
      <c r="F484" s="6"/>
      <c r="G484" s="12"/>
    </row>
    <row r="485" spans="2:7" x14ac:dyDescent="0.25">
      <c r="B485" s="6"/>
      <c r="C485" s="12"/>
      <c r="D485" s="6"/>
      <c r="E485" s="12"/>
      <c r="F485" s="6"/>
      <c r="G485" s="12"/>
    </row>
    <row r="486" spans="2:7" x14ac:dyDescent="0.25">
      <c r="B486" s="6"/>
      <c r="C486" s="12"/>
      <c r="D486" s="6"/>
      <c r="E486" s="12"/>
      <c r="F486" s="6"/>
      <c r="G486" s="12"/>
    </row>
    <row r="487" spans="2:7" x14ac:dyDescent="0.25">
      <c r="B487" s="6"/>
      <c r="C487" s="12"/>
      <c r="D487" s="6"/>
      <c r="E487" s="12"/>
      <c r="F487" s="6"/>
      <c r="G487" s="12"/>
    </row>
    <row r="488" spans="2:7" x14ac:dyDescent="0.25">
      <c r="B488" s="6"/>
      <c r="C488" s="12"/>
      <c r="D488" s="6"/>
      <c r="E488" s="12"/>
      <c r="F488" s="6"/>
      <c r="G488" s="12"/>
    </row>
    <row r="489" spans="2:7" x14ac:dyDescent="0.25">
      <c r="B489" s="6"/>
      <c r="C489" s="12"/>
      <c r="D489" s="6"/>
      <c r="E489" s="12"/>
      <c r="F489" s="6"/>
      <c r="G489" s="12"/>
    </row>
    <row r="490" spans="2:7" x14ac:dyDescent="0.25">
      <c r="B490" s="6"/>
      <c r="C490" s="12"/>
      <c r="D490" s="6"/>
      <c r="E490" s="12"/>
      <c r="F490" s="6"/>
      <c r="G490" s="12"/>
    </row>
    <row r="491" spans="2:7" x14ac:dyDescent="0.25">
      <c r="B491" s="6"/>
      <c r="C491" s="12"/>
      <c r="D491" s="6"/>
      <c r="E491" s="12"/>
      <c r="F491" s="6"/>
      <c r="G491" s="12"/>
    </row>
    <row r="492" spans="2:7" x14ac:dyDescent="0.25">
      <c r="B492" s="6"/>
      <c r="C492" s="12"/>
      <c r="D492" s="6"/>
      <c r="E492" s="12"/>
      <c r="F492" s="6"/>
      <c r="G492" s="12"/>
    </row>
    <row r="493" spans="2:7" x14ac:dyDescent="0.25">
      <c r="B493" s="6"/>
      <c r="C493" s="12"/>
      <c r="D493" s="6"/>
      <c r="E493" s="12"/>
      <c r="F493" s="6"/>
      <c r="G493" s="12"/>
    </row>
    <row r="494" spans="2:7" x14ac:dyDescent="0.25">
      <c r="B494" s="6"/>
      <c r="C494" s="12"/>
      <c r="D494" s="6"/>
      <c r="E494" s="12"/>
      <c r="F494" s="6"/>
      <c r="G494" s="12"/>
    </row>
    <row r="495" spans="2:7" x14ac:dyDescent="0.25">
      <c r="B495" s="6"/>
      <c r="C495" s="12"/>
      <c r="D495" s="6"/>
      <c r="E495" s="12"/>
      <c r="F495" s="6"/>
      <c r="G495" s="12"/>
    </row>
    <row r="496" spans="2:7" x14ac:dyDescent="0.25">
      <c r="B496" s="6"/>
      <c r="C496" s="12"/>
      <c r="D496" s="6"/>
      <c r="E496" s="12"/>
      <c r="F496" s="6"/>
      <c r="G496" s="12"/>
    </row>
    <row r="497" spans="2:7" x14ac:dyDescent="0.25">
      <c r="B497" s="6"/>
      <c r="C497" s="12"/>
      <c r="D497" s="6"/>
      <c r="E497" s="12"/>
      <c r="F497" s="6"/>
      <c r="G497" s="12"/>
    </row>
    <row r="498" spans="2:7" x14ac:dyDescent="0.25">
      <c r="B498" s="6"/>
      <c r="C498" s="12"/>
      <c r="D498" s="6"/>
      <c r="E498" s="12"/>
      <c r="F498" s="6"/>
      <c r="G498" s="12"/>
    </row>
    <row r="499" spans="2:7" x14ac:dyDescent="0.25">
      <c r="B499" s="6"/>
      <c r="C499" s="12"/>
      <c r="D499" s="6"/>
      <c r="E499" s="12"/>
      <c r="F499" s="6"/>
      <c r="G499" s="12"/>
    </row>
    <row r="500" spans="2:7" x14ac:dyDescent="0.25">
      <c r="B500" s="6"/>
      <c r="C500" s="12"/>
      <c r="D500" s="6"/>
      <c r="E500" s="12"/>
      <c r="F500" s="6"/>
      <c r="G500" s="12"/>
    </row>
    <row r="501" spans="2:7" x14ac:dyDescent="0.25">
      <c r="B501" s="6"/>
      <c r="C501" s="12"/>
      <c r="D501" s="6"/>
      <c r="E501" s="12"/>
      <c r="F501" s="6"/>
      <c r="G501" s="12"/>
    </row>
    <row r="502" spans="2:7" x14ac:dyDescent="0.25">
      <c r="B502" s="6"/>
      <c r="C502" s="12"/>
      <c r="D502" s="6"/>
      <c r="E502" s="12"/>
      <c r="F502" s="6"/>
      <c r="G502" s="12"/>
    </row>
    <row r="503" spans="2:7" x14ac:dyDescent="0.25">
      <c r="B503" s="6"/>
      <c r="C503" s="12"/>
      <c r="D503" s="6"/>
      <c r="E503" s="12"/>
      <c r="F503" s="6"/>
      <c r="G503" s="12"/>
    </row>
    <row r="504" spans="2:7" x14ac:dyDescent="0.25">
      <c r="B504" s="6"/>
      <c r="C504" s="12"/>
      <c r="D504" s="6"/>
      <c r="E504" s="12"/>
      <c r="F504" s="6"/>
      <c r="G504" s="12"/>
    </row>
    <row r="505" spans="2:7" x14ac:dyDescent="0.25">
      <c r="B505" s="6"/>
      <c r="C505" s="12"/>
      <c r="D505" s="6"/>
      <c r="E505" s="12"/>
      <c r="F505" s="6"/>
      <c r="G505" s="12"/>
    </row>
    <row r="506" spans="2:7" x14ac:dyDescent="0.25">
      <c r="B506" s="6"/>
      <c r="C506" s="12"/>
      <c r="D506" s="6"/>
      <c r="E506" s="12"/>
      <c r="F506" s="6"/>
      <c r="G506" s="12"/>
    </row>
    <row r="507" spans="2:7" x14ac:dyDescent="0.25">
      <c r="B507" s="6"/>
      <c r="C507" s="12"/>
      <c r="D507" s="6"/>
      <c r="E507" s="12"/>
      <c r="F507" s="6"/>
      <c r="G507" s="12"/>
    </row>
    <row r="508" spans="2:7" x14ac:dyDescent="0.25">
      <c r="B508" s="6"/>
      <c r="C508" s="12"/>
      <c r="D508" s="6"/>
      <c r="E508" s="12"/>
      <c r="F508" s="6"/>
      <c r="G508" s="12"/>
    </row>
    <row r="509" spans="2:7" x14ac:dyDescent="0.25">
      <c r="B509" s="6"/>
      <c r="C509" s="12"/>
      <c r="D509" s="6"/>
      <c r="E509" s="12"/>
      <c r="F509" s="6"/>
      <c r="G509" s="12"/>
    </row>
    <row r="510" spans="2:7" x14ac:dyDescent="0.25">
      <c r="B510" s="6"/>
      <c r="C510" s="12"/>
      <c r="D510" s="6"/>
      <c r="E510" s="12"/>
      <c r="F510" s="6"/>
      <c r="G510" s="12"/>
    </row>
    <row r="511" spans="2:7" x14ac:dyDescent="0.25">
      <c r="B511" s="6"/>
      <c r="C511" s="12"/>
      <c r="D511" s="6"/>
      <c r="E511" s="12"/>
      <c r="F511" s="6"/>
      <c r="G511" s="12"/>
    </row>
    <row r="512" spans="2:7" x14ac:dyDescent="0.25">
      <c r="B512" s="6"/>
      <c r="C512" s="12"/>
      <c r="D512" s="6"/>
      <c r="E512" s="12"/>
      <c r="F512" s="6"/>
      <c r="G512" s="12"/>
    </row>
    <row r="513" spans="2:7" x14ac:dyDescent="0.25">
      <c r="B513" s="6"/>
      <c r="C513" s="12"/>
      <c r="D513" s="6"/>
      <c r="E513" s="12"/>
      <c r="F513" s="6"/>
      <c r="G513" s="12"/>
    </row>
    <row r="514" spans="2:7" x14ac:dyDescent="0.25">
      <c r="B514" s="6"/>
      <c r="C514" s="12"/>
      <c r="D514" s="6"/>
      <c r="E514" s="12"/>
      <c r="F514" s="6"/>
      <c r="G514" s="12"/>
    </row>
    <row r="515" spans="2:7" x14ac:dyDescent="0.25">
      <c r="B515" s="6"/>
      <c r="C515" s="12"/>
      <c r="D515" s="6"/>
      <c r="E515" s="12"/>
      <c r="F515" s="6"/>
      <c r="G515" s="12"/>
    </row>
    <row r="516" spans="2:7" x14ac:dyDescent="0.25">
      <c r="B516" s="6"/>
      <c r="C516" s="12"/>
      <c r="D516" s="6"/>
      <c r="E516" s="12"/>
      <c r="F516" s="6"/>
      <c r="G516" s="12"/>
    </row>
    <row r="517" spans="2:7" x14ac:dyDescent="0.25">
      <c r="B517" s="6"/>
      <c r="C517" s="12"/>
      <c r="D517" s="6"/>
      <c r="E517" s="12"/>
      <c r="F517" s="6"/>
      <c r="G517" s="12"/>
    </row>
    <row r="518" spans="2:7" x14ac:dyDescent="0.25">
      <c r="B518" s="6"/>
      <c r="C518" s="12"/>
      <c r="D518" s="6"/>
      <c r="E518" s="12"/>
      <c r="F518" s="6"/>
      <c r="G518" s="12"/>
    </row>
    <row r="519" spans="2:7" x14ac:dyDescent="0.25">
      <c r="B519" s="6"/>
      <c r="C519" s="12"/>
      <c r="D519" s="6"/>
      <c r="E519" s="12"/>
      <c r="F519" s="6"/>
      <c r="G519" s="12"/>
    </row>
    <row r="520" spans="2:7" x14ac:dyDescent="0.25">
      <c r="B520" s="6"/>
      <c r="C520" s="12"/>
      <c r="D520" s="6"/>
      <c r="E520" s="12"/>
      <c r="F520" s="6"/>
      <c r="G520" s="12"/>
    </row>
    <row r="521" spans="2:7" x14ac:dyDescent="0.25">
      <c r="B521" s="6"/>
      <c r="C521" s="12"/>
      <c r="D521" s="6"/>
      <c r="E521" s="12"/>
      <c r="F521" s="6"/>
      <c r="G521" s="12"/>
    </row>
    <row r="522" spans="2:7" x14ac:dyDescent="0.25">
      <c r="B522" s="6"/>
      <c r="C522" s="12"/>
      <c r="D522" s="6"/>
      <c r="E522" s="12"/>
      <c r="F522" s="6"/>
      <c r="G522" s="12"/>
    </row>
    <row r="523" spans="2:7" x14ac:dyDescent="0.25">
      <c r="B523" s="6"/>
      <c r="C523" s="12"/>
      <c r="D523" s="6"/>
      <c r="E523" s="12"/>
      <c r="F523" s="6"/>
      <c r="G523" s="12"/>
    </row>
    <row r="524" spans="2:7" x14ac:dyDescent="0.25">
      <c r="B524" s="6"/>
      <c r="C524" s="12"/>
      <c r="D524" s="6"/>
      <c r="E524" s="12"/>
      <c r="F524" s="6"/>
      <c r="G524" s="12"/>
    </row>
    <row r="525" spans="2:7" x14ac:dyDescent="0.25">
      <c r="B525" s="6"/>
      <c r="C525" s="12"/>
      <c r="D525" s="6"/>
      <c r="E525" s="12"/>
      <c r="F525" s="6"/>
      <c r="G525" s="12"/>
    </row>
    <row r="526" spans="2:7" x14ac:dyDescent="0.25">
      <c r="B526" s="6"/>
      <c r="C526" s="12"/>
      <c r="D526" s="6"/>
      <c r="E526" s="12"/>
      <c r="F526" s="6"/>
      <c r="G526" s="12"/>
    </row>
    <row r="527" spans="2:7" x14ac:dyDescent="0.25">
      <c r="B527" s="6"/>
      <c r="C527" s="12"/>
      <c r="D527" s="6"/>
      <c r="E527" s="12"/>
      <c r="F527" s="6"/>
      <c r="G527" s="12"/>
    </row>
    <row r="528" spans="2:7" x14ac:dyDescent="0.25">
      <c r="B528" s="6"/>
      <c r="C528" s="12"/>
      <c r="D528" s="6"/>
      <c r="E528" s="12"/>
      <c r="F528" s="6"/>
      <c r="G528" s="12"/>
    </row>
    <row r="529" spans="2:7" x14ac:dyDescent="0.25">
      <c r="B529" s="6"/>
      <c r="C529" s="12"/>
      <c r="D529" s="6"/>
      <c r="E529" s="12"/>
      <c r="F529" s="6"/>
      <c r="G529" s="12"/>
    </row>
    <row r="530" spans="2:7" x14ac:dyDescent="0.25">
      <c r="B530" s="6"/>
      <c r="C530" s="12"/>
      <c r="D530" s="6"/>
      <c r="E530" s="12"/>
      <c r="F530" s="6"/>
      <c r="G530" s="12"/>
    </row>
    <row r="531" spans="2:7" x14ac:dyDescent="0.25">
      <c r="B531" s="6"/>
      <c r="C531" s="12"/>
      <c r="D531" s="6"/>
      <c r="E531" s="12"/>
      <c r="F531" s="6"/>
      <c r="G531" s="12"/>
    </row>
    <row r="532" spans="2:7" x14ac:dyDescent="0.25">
      <c r="B532" s="6"/>
      <c r="C532" s="12"/>
      <c r="D532" s="6"/>
      <c r="E532" s="12"/>
      <c r="F532" s="6"/>
      <c r="G532" s="12"/>
    </row>
    <row r="533" spans="2:7" x14ac:dyDescent="0.25">
      <c r="B533" s="6"/>
      <c r="C533" s="12"/>
      <c r="D533" s="6"/>
      <c r="E533" s="12"/>
      <c r="F533" s="6"/>
      <c r="G533" s="12"/>
    </row>
    <row r="534" spans="2:7" x14ac:dyDescent="0.25">
      <c r="B534" s="6"/>
      <c r="C534" s="12"/>
      <c r="D534" s="6"/>
      <c r="E534" s="12"/>
      <c r="F534" s="6"/>
      <c r="G534" s="12"/>
    </row>
    <row r="535" spans="2:7" x14ac:dyDescent="0.25">
      <c r="B535" s="6"/>
      <c r="C535" s="12"/>
      <c r="D535" s="6"/>
      <c r="E535" s="12"/>
      <c r="F535" s="6"/>
      <c r="G535" s="12"/>
    </row>
    <row r="536" spans="2:7" x14ac:dyDescent="0.25">
      <c r="B536" s="6"/>
      <c r="C536" s="12"/>
      <c r="D536" s="6"/>
      <c r="E536" s="12"/>
      <c r="F536" s="6"/>
      <c r="G536" s="12"/>
    </row>
    <row r="537" spans="2:7" x14ac:dyDescent="0.25">
      <c r="B537" s="6"/>
      <c r="C537" s="12"/>
      <c r="D537" s="6"/>
      <c r="E537" s="12"/>
      <c r="F537" s="6"/>
      <c r="G537" s="12"/>
    </row>
    <row r="538" spans="2:7" x14ac:dyDescent="0.25">
      <c r="B538" s="6"/>
      <c r="C538" s="12"/>
      <c r="D538" s="6"/>
      <c r="E538" s="12"/>
      <c r="F538" s="6"/>
      <c r="G538" s="12"/>
    </row>
    <row r="539" spans="2:7" x14ac:dyDescent="0.25">
      <c r="B539" s="6"/>
      <c r="C539" s="12"/>
      <c r="D539" s="6"/>
      <c r="E539" s="12"/>
      <c r="F539" s="6"/>
      <c r="G539" s="12"/>
    </row>
    <row r="540" spans="2:7" x14ac:dyDescent="0.25">
      <c r="B540" s="6"/>
      <c r="C540" s="12"/>
      <c r="D540" s="6"/>
      <c r="E540" s="12"/>
      <c r="F540" s="6"/>
      <c r="G540" s="12"/>
    </row>
    <row r="541" spans="2:7" x14ac:dyDescent="0.25">
      <c r="B541" s="6"/>
      <c r="C541" s="12"/>
      <c r="D541" s="6"/>
      <c r="E541" s="12"/>
      <c r="F541" s="6"/>
      <c r="G541" s="12"/>
    </row>
    <row r="542" spans="2:7" x14ac:dyDescent="0.25">
      <c r="B542" s="6"/>
      <c r="C542" s="12"/>
      <c r="D542" s="6"/>
      <c r="E542" s="12"/>
      <c r="F542" s="6"/>
      <c r="G542" s="12"/>
    </row>
    <row r="543" spans="2:7" x14ac:dyDescent="0.25">
      <c r="B543" s="6"/>
      <c r="C543" s="12"/>
      <c r="D543" s="6"/>
      <c r="E543" s="12"/>
      <c r="F543" s="6"/>
      <c r="G543" s="12"/>
    </row>
    <row r="544" spans="2:7" x14ac:dyDescent="0.25">
      <c r="B544" s="6"/>
      <c r="C544" s="12"/>
      <c r="D544" s="6"/>
      <c r="E544" s="12"/>
      <c r="F544" s="6"/>
      <c r="G544" s="12"/>
    </row>
    <row r="545" spans="2:7" x14ac:dyDescent="0.25">
      <c r="B545" s="6"/>
      <c r="C545" s="12"/>
      <c r="D545" s="6"/>
      <c r="E545" s="12"/>
      <c r="F545" s="6"/>
      <c r="G545" s="12"/>
    </row>
    <row r="546" spans="2:7" x14ac:dyDescent="0.25">
      <c r="B546" s="6"/>
      <c r="C546" s="12"/>
      <c r="D546" s="6"/>
      <c r="E546" s="12"/>
      <c r="F546" s="6"/>
      <c r="G546" s="12"/>
    </row>
    <row r="547" spans="2:7" x14ac:dyDescent="0.25">
      <c r="B547" s="6"/>
      <c r="C547" s="12"/>
      <c r="D547" s="6"/>
      <c r="E547" s="12"/>
      <c r="F547" s="6"/>
      <c r="G547" s="12"/>
    </row>
    <row r="548" spans="2:7" x14ac:dyDescent="0.25">
      <c r="B548" s="6"/>
      <c r="C548" s="12"/>
      <c r="D548" s="6"/>
      <c r="E548" s="12"/>
      <c r="F548" s="6"/>
      <c r="G548" s="12"/>
    </row>
    <row r="549" spans="2:7" x14ac:dyDescent="0.25">
      <c r="B549" s="6"/>
      <c r="C549" s="12"/>
      <c r="D549" s="6"/>
      <c r="E549" s="12"/>
      <c r="F549" s="6"/>
      <c r="G549" s="12"/>
    </row>
    <row r="550" spans="2:7" x14ac:dyDescent="0.25">
      <c r="B550" s="6"/>
      <c r="C550" s="12"/>
      <c r="D550" s="6"/>
      <c r="E550" s="12"/>
      <c r="F550" s="6"/>
      <c r="G550" s="12"/>
    </row>
    <row r="551" spans="2:7" x14ac:dyDescent="0.25">
      <c r="B551" s="6"/>
      <c r="C551" s="12"/>
      <c r="D551" s="6"/>
      <c r="E551" s="12"/>
      <c r="F551" s="6"/>
      <c r="G551" s="12"/>
    </row>
    <row r="552" spans="2:7" x14ac:dyDescent="0.25">
      <c r="B552" s="6"/>
      <c r="C552" s="12"/>
      <c r="D552" s="6"/>
      <c r="E552" s="12"/>
      <c r="F552" s="6"/>
      <c r="G552" s="12"/>
    </row>
    <row r="553" spans="2:7" x14ac:dyDescent="0.25">
      <c r="B553" s="6"/>
      <c r="C553" s="12"/>
      <c r="D553" s="6"/>
      <c r="E553" s="12"/>
      <c r="F553" s="6"/>
      <c r="G553" s="12"/>
    </row>
    <row r="554" spans="2:7" x14ac:dyDescent="0.25">
      <c r="B554" s="6"/>
      <c r="C554" s="12"/>
      <c r="D554" s="6"/>
      <c r="E554" s="12"/>
      <c r="F554" s="6"/>
      <c r="G554" s="12"/>
    </row>
    <row r="555" spans="2:7" x14ac:dyDescent="0.25">
      <c r="B555" s="6"/>
      <c r="C555" s="12"/>
      <c r="D555" s="6"/>
      <c r="E555" s="12"/>
      <c r="F555" s="6"/>
      <c r="G555" s="12"/>
    </row>
    <row r="556" spans="2:7" x14ac:dyDescent="0.25">
      <c r="B556" s="6"/>
      <c r="C556" s="12"/>
      <c r="D556" s="6"/>
      <c r="E556" s="12"/>
      <c r="F556" s="6"/>
      <c r="G556" s="12"/>
    </row>
    <row r="557" spans="2:7" x14ac:dyDescent="0.25">
      <c r="B557" s="6"/>
      <c r="C557" s="12"/>
      <c r="D557" s="6"/>
      <c r="E557" s="12"/>
      <c r="F557" s="6"/>
      <c r="G557" s="12"/>
    </row>
    <row r="558" spans="2:7" x14ac:dyDescent="0.25">
      <c r="B558" s="6"/>
      <c r="C558" s="12"/>
      <c r="D558" s="6"/>
      <c r="E558" s="12"/>
      <c r="F558" s="6"/>
      <c r="G558" s="12"/>
    </row>
    <row r="559" spans="2:7" x14ac:dyDescent="0.25">
      <c r="B559" s="6"/>
      <c r="C559" s="12"/>
      <c r="D559" s="6"/>
      <c r="E559" s="12"/>
      <c r="F559" s="6"/>
      <c r="G559" s="12"/>
    </row>
    <row r="560" spans="2:7" x14ac:dyDescent="0.25">
      <c r="B560" s="6"/>
      <c r="C560" s="12"/>
      <c r="D560" s="6"/>
      <c r="E560" s="12"/>
      <c r="F560" s="6"/>
      <c r="G560" s="12"/>
    </row>
    <row r="561" spans="2:7" x14ac:dyDescent="0.25">
      <c r="B561" s="6"/>
      <c r="C561" s="12"/>
      <c r="D561" s="6"/>
      <c r="E561" s="12"/>
      <c r="F561" s="6"/>
      <c r="G561" s="12"/>
    </row>
    <row r="562" spans="2:7" x14ac:dyDescent="0.25">
      <c r="B562" s="6"/>
      <c r="C562" s="12"/>
      <c r="D562" s="6"/>
      <c r="E562" s="12"/>
      <c r="F562" s="6"/>
      <c r="G562" s="12"/>
    </row>
    <row r="563" spans="2:7" x14ac:dyDescent="0.25">
      <c r="B563" s="6"/>
      <c r="C563" s="12"/>
      <c r="D563" s="6"/>
      <c r="E563" s="12"/>
      <c r="F563" s="6"/>
      <c r="G563" s="12"/>
    </row>
    <row r="564" spans="2:7" x14ac:dyDescent="0.25">
      <c r="B564" s="6"/>
      <c r="C564" s="12"/>
      <c r="D564" s="6"/>
      <c r="E564" s="12"/>
      <c r="F564" s="6"/>
      <c r="G564" s="12"/>
    </row>
    <row r="565" spans="2:7" x14ac:dyDescent="0.25">
      <c r="B565" s="6"/>
      <c r="C565" s="12"/>
      <c r="D565" s="6"/>
      <c r="E565" s="12"/>
      <c r="F565" s="6"/>
      <c r="G565" s="12"/>
    </row>
    <row r="566" spans="2:7" x14ac:dyDescent="0.25">
      <c r="B566" s="6"/>
      <c r="C566" s="12"/>
      <c r="D566" s="6"/>
      <c r="E566" s="12"/>
      <c r="F566" s="6"/>
      <c r="G566" s="12"/>
    </row>
    <row r="567" spans="2:7" x14ac:dyDescent="0.25">
      <c r="B567" s="6"/>
      <c r="C567" s="12"/>
      <c r="D567" s="6"/>
      <c r="E567" s="12"/>
      <c r="F567" s="6"/>
      <c r="G567" s="12"/>
    </row>
    <row r="568" spans="2:7" x14ac:dyDescent="0.25">
      <c r="B568" s="6"/>
      <c r="C568" s="12"/>
      <c r="D568" s="6"/>
      <c r="E568" s="12"/>
      <c r="F568" s="6"/>
      <c r="G568" s="12"/>
    </row>
    <row r="569" spans="2:7" x14ac:dyDescent="0.25">
      <c r="B569" s="6"/>
      <c r="C569" s="12"/>
      <c r="D569" s="6"/>
      <c r="E569" s="12"/>
      <c r="F569" s="6"/>
      <c r="G569" s="12"/>
    </row>
    <row r="570" spans="2:7" x14ac:dyDescent="0.25">
      <c r="B570" s="6"/>
      <c r="C570" s="12"/>
      <c r="D570" s="6"/>
      <c r="E570" s="12"/>
      <c r="F570" s="6"/>
      <c r="G570" s="12"/>
    </row>
    <row r="571" spans="2:7" x14ac:dyDescent="0.25">
      <c r="B571" s="6"/>
      <c r="C571" s="12"/>
      <c r="D571" s="6"/>
      <c r="E571" s="12"/>
      <c r="F571" s="6"/>
      <c r="G571" s="12"/>
    </row>
    <row r="572" spans="2:7" x14ac:dyDescent="0.25">
      <c r="B572" s="6"/>
      <c r="C572" s="12"/>
      <c r="D572" s="6"/>
      <c r="E572" s="12"/>
      <c r="F572" s="6"/>
      <c r="G572" s="12"/>
    </row>
    <row r="573" spans="2:7" x14ac:dyDescent="0.25">
      <c r="B573" s="6"/>
      <c r="C573" s="12"/>
      <c r="D573" s="6"/>
      <c r="E573" s="12"/>
      <c r="F573" s="6"/>
      <c r="G573" s="12"/>
    </row>
    <row r="574" spans="2:7" x14ac:dyDescent="0.25">
      <c r="B574" s="6"/>
      <c r="C574" s="12"/>
      <c r="D574" s="6"/>
      <c r="E574" s="12"/>
      <c r="F574" s="6"/>
      <c r="G574" s="12"/>
    </row>
    <row r="575" spans="2:7" x14ac:dyDescent="0.25">
      <c r="B575" s="6"/>
      <c r="C575" s="12"/>
      <c r="D575" s="6"/>
      <c r="E575" s="12"/>
      <c r="F575" s="6"/>
      <c r="G575" s="12"/>
    </row>
    <row r="576" spans="2:7" x14ac:dyDescent="0.25">
      <c r="B576" s="6"/>
      <c r="C576" s="12"/>
      <c r="D576" s="6"/>
      <c r="E576" s="12"/>
      <c r="F576" s="6"/>
      <c r="G576" s="12"/>
    </row>
    <row r="577" spans="2:7" x14ac:dyDescent="0.25">
      <c r="B577" s="6"/>
      <c r="C577" s="12"/>
      <c r="D577" s="6"/>
      <c r="E577" s="12"/>
      <c r="F577" s="6"/>
      <c r="G577" s="12"/>
    </row>
    <row r="578" spans="2:7" x14ac:dyDescent="0.25">
      <c r="B578" s="6"/>
      <c r="C578" s="12"/>
      <c r="D578" s="6"/>
      <c r="E578" s="12"/>
      <c r="F578" s="6"/>
      <c r="G578" s="12"/>
    </row>
    <row r="579" spans="2:7" x14ac:dyDescent="0.25">
      <c r="B579" s="6"/>
      <c r="C579" s="12"/>
      <c r="D579" s="6"/>
      <c r="E579" s="12"/>
      <c r="F579" s="6"/>
      <c r="G579" s="12"/>
    </row>
    <row r="580" spans="2:7" x14ac:dyDescent="0.25">
      <c r="B580" s="6"/>
      <c r="C580" s="12"/>
      <c r="D580" s="6"/>
      <c r="E580" s="12"/>
      <c r="F580" s="6"/>
      <c r="G580" s="12"/>
    </row>
    <row r="581" spans="2:7" x14ac:dyDescent="0.25">
      <c r="B581" s="6"/>
      <c r="C581" s="12"/>
      <c r="D581" s="6"/>
      <c r="E581" s="12"/>
      <c r="F581" s="6"/>
      <c r="G581" s="12"/>
    </row>
    <row r="582" spans="2:7" x14ac:dyDescent="0.25">
      <c r="B582" s="6"/>
      <c r="C582" s="12"/>
      <c r="D582" s="6"/>
      <c r="E582" s="12"/>
      <c r="F582" s="6"/>
      <c r="G582" s="12"/>
    </row>
    <row r="583" spans="2:7" x14ac:dyDescent="0.25">
      <c r="B583" s="6"/>
      <c r="C583" s="12"/>
      <c r="D583" s="6"/>
      <c r="E583" s="12"/>
      <c r="F583" s="6"/>
      <c r="G583" s="12"/>
    </row>
    <row r="584" spans="2:7" x14ac:dyDescent="0.25">
      <c r="B584" s="6"/>
      <c r="C584" s="12"/>
      <c r="D584" s="6"/>
      <c r="E584" s="12"/>
      <c r="F584" s="6"/>
      <c r="G584" s="12"/>
    </row>
    <row r="585" spans="2:7" x14ac:dyDescent="0.25">
      <c r="B585" s="6"/>
      <c r="C585" s="12"/>
      <c r="D585" s="6"/>
      <c r="E585" s="12"/>
      <c r="F585" s="6"/>
      <c r="G585" s="12"/>
    </row>
    <row r="586" spans="2:7" x14ac:dyDescent="0.25">
      <c r="B586" s="6"/>
      <c r="C586" s="12"/>
      <c r="D586" s="6"/>
      <c r="E586" s="12"/>
      <c r="F586" s="6"/>
      <c r="G586" s="12"/>
    </row>
    <row r="587" spans="2:7" x14ac:dyDescent="0.25">
      <c r="B587" s="6"/>
      <c r="C587" s="12"/>
      <c r="D587" s="6"/>
      <c r="E587" s="12"/>
      <c r="F587" s="6"/>
      <c r="G587" s="12"/>
    </row>
    <row r="588" spans="2:7" x14ac:dyDescent="0.25">
      <c r="B588" s="6"/>
      <c r="C588" s="12"/>
      <c r="D588" s="6"/>
      <c r="E588" s="12"/>
      <c r="F588" s="6"/>
      <c r="G588" s="12"/>
    </row>
    <row r="589" spans="2:7" x14ac:dyDescent="0.25">
      <c r="B589" s="6"/>
      <c r="C589" s="12"/>
      <c r="D589" s="6"/>
      <c r="E589" s="12"/>
      <c r="F589" s="6"/>
      <c r="G589" s="12"/>
    </row>
    <row r="590" spans="2:7" x14ac:dyDescent="0.25">
      <c r="B590" s="6"/>
      <c r="C590" s="12"/>
      <c r="D590" s="6"/>
      <c r="E590" s="12"/>
      <c r="F590" s="6"/>
      <c r="G590" s="12"/>
    </row>
    <row r="591" spans="2:7" x14ac:dyDescent="0.25">
      <c r="B591" s="6"/>
      <c r="C591" s="12"/>
      <c r="D591" s="6"/>
      <c r="E591" s="12"/>
      <c r="F591" s="6"/>
      <c r="G591" s="12"/>
    </row>
    <row r="592" spans="2:7" x14ac:dyDescent="0.25">
      <c r="B592" s="6"/>
      <c r="C592" s="12"/>
      <c r="D592" s="6"/>
      <c r="E592" s="12"/>
      <c r="F592" s="6"/>
      <c r="G592" s="12"/>
    </row>
    <row r="593" spans="2:7" x14ac:dyDescent="0.25">
      <c r="B593" s="6"/>
      <c r="C593" s="12"/>
      <c r="D593" s="6"/>
      <c r="E593" s="12"/>
      <c r="F593" s="6"/>
      <c r="G593" s="12"/>
    </row>
    <row r="594" spans="2:7" x14ac:dyDescent="0.25">
      <c r="B594" s="6"/>
      <c r="C594" s="12"/>
      <c r="D594" s="6"/>
      <c r="E594" s="12"/>
      <c r="F594" s="6"/>
      <c r="G594" s="12"/>
    </row>
    <row r="595" spans="2:7" x14ac:dyDescent="0.25">
      <c r="B595" s="6"/>
      <c r="C595" s="12"/>
      <c r="D595" s="6"/>
      <c r="E595" s="12"/>
      <c r="F595" s="6"/>
      <c r="G595" s="12"/>
    </row>
    <row r="596" spans="2:7" x14ac:dyDescent="0.25">
      <c r="B596" s="6"/>
      <c r="C596" s="12"/>
      <c r="D596" s="6"/>
      <c r="E596" s="12"/>
      <c r="F596" s="6"/>
      <c r="G596" s="12"/>
    </row>
    <row r="597" spans="2:7" x14ac:dyDescent="0.25">
      <c r="B597" s="6"/>
      <c r="C597" s="12"/>
      <c r="D597" s="6"/>
      <c r="E597" s="12"/>
      <c r="F597" s="6"/>
      <c r="G597" s="12"/>
    </row>
    <row r="598" spans="2:7" x14ac:dyDescent="0.25">
      <c r="B598" s="6"/>
      <c r="C598" s="12"/>
      <c r="D598" s="6"/>
      <c r="E598" s="12"/>
      <c r="F598" s="6"/>
      <c r="G598" s="12"/>
    </row>
    <row r="599" spans="2:7" x14ac:dyDescent="0.25">
      <c r="B599" s="6"/>
      <c r="C599" s="12"/>
      <c r="D599" s="6"/>
      <c r="E599" s="12"/>
      <c r="F599" s="6"/>
      <c r="G599" s="12"/>
    </row>
    <row r="600" spans="2:7" x14ac:dyDescent="0.25">
      <c r="B600" s="6"/>
      <c r="C600" s="12"/>
      <c r="D600" s="6"/>
      <c r="E600" s="12"/>
      <c r="F600" s="6"/>
      <c r="G600" s="12"/>
    </row>
    <row r="601" spans="2:7" x14ac:dyDescent="0.25">
      <c r="B601" s="6"/>
      <c r="C601" s="12"/>
      <c r="D601" s="6"/>
      <c r="E601" s="12"/>
      <c r="F601" s="6"/>
      <c r="G601" s="12"/>
    </row>
    <row r="602" spans="2:7" x14ac:dyDescent="0.25">
      <c r="B602" s="6"/>
      <c r="C602" s="12"/>
      <c r="D602" s="6"/>
      <c r="E602" s="12"/>
      <c r="F602" s="6"/>
      <c r="G602" s="12"/>
    </row>
    <row r="603" spans="2:7" x14ac:dyDescent="0.25">
      <c r="B603" s="6"/>
      <c r="C603" s="12"/>
      <c r="D603" s="6"/>
      <c r="E603" s="12"/>
      <c r="F603" s="6"/>
      <c r="G603" s="12"/>
    </row>
    <row r="604" spans="2:7" x14ac:dyDescent="0.25">
      <c r="B604" s="6"/>
      <c r="C604" s="12"/>
      <c r="D604" s="6"/>
      <c r="E604" s="12"/>
      <c r="F604" s="6"/>
      <c r="G604" s="12"/>
    </row>
    <row r="605" spans="2:7" x14ac:dyDescent="0.25">
      <c r="B605" s="6"/>
      <c r="C605" s="12"/>
      <c r="D605" s="6"/>
      <c r="E605" s="12"/>
      <c r="F605" s="6"/>
      <c r="G605" s="12"/>
    </row>
    <row r="606" spans="2:7" x14ac:dyDescent="0.25">
      <c r="B606" s="6"/>
      <c r="C606" s="12"/>
      <c r="D606" s="6"/>
      <c r="E606" s="12"/>
      <c r="F606" s="6"/>
      <c r="G606" s="12"/>
    </row>
    <row r="607" spans="2:7" x14ac:dyDescent="0.25">
      <c r="B607" s="6"/>
      <c r="C607" s="12"/>
      <c r="D607" s="6"/>
      <c r="E607" s="12"/>
      <c r="F607" s="6"/>
      <c r="G607" s="12"/>
    </row>
    <row r="608" spans="2:7" x14ac:dyDescent="0.25">
      <c r="B608" s="6"/>
      <c r="C608" s="12"/>
      <c r="D608" s="6"/>
      <c r="E608" s="12"/>
      <c r="F608" s="6"/>
      <c r="G608" s="12"/>
    </row>
    <row r="609" spans="2:7" x14ac:dyDescent="0.25">
      <c r="B609" s="6"/>
      <c r="C609" s="12"/>
      <c r="D609" s="6"/>
      <c r="E609" s="12"/>
      <c r="F609" s="6"/>
      <c r="G609" s="12"/>
    </row>
    <row r="610" spans="2:7" x14ac:dyDescent="0.25">
      <c r="B610" s="6"/>
      <c r="C610" s="12"/>
      <c r="D610" s="6"/>
      <c r="E610" s="12"/>
      <c r="F610" s="6"/>
      <c r="G610" s="12"/>
    </row>
    <row r="611" spans="2:7" x14ac:dyDescent="0.25">
      <c r="B611" s="6"/>
      <c r="C611" s="12"/>
      <c r="D611" s="6"/>
      <c r="E611" s="12"/>
      <c r="F611" s="6"/>
      <c r="G611" s="12"/>
    </row>
    <row r="612" spans="2:7" x14ac:dyDescent="0.25">
      <c r="B612" s="6"/>
      <c r="C612" s="12"/>
      <c r="D612" s="6"/>
      <c r="E612" s="12"/>
      <c r="F612" s="6"/>
      <c r="G612" s="12"/>
    </row>
    <row r="613" spans="2:7" x14ac:dyDescent="0.25">
      <c r="B613" s="6"/>
      <c r="C613" s="12"/>
      <c r="D613" s="6"/>
      <c r="E613" s="12"/>
      <c r="F613" s="6"/>
      <c r="G613" s="12"/>
    </row>
    <row r="614" spans="2:7" x14ac:dyDescent="0.25">
      <c r="B614" s="6"/>
      <c r="C614" s="12"/>
      <c r="D614" s="6"/>
      <c r="E614" s="12"/>
      <c r="F614" s="6"/>
      <c r="G614" s="12"/>
    </row>
    <row r="615" spans="2:7" x14ac:dyDescent="0.25">
      <c r="B615" s="6"/>
      <c r="C615" s="12"/>
      <c r="D615" s="6"/>
      <c r="E615" s="12"/>
      <c r="F615" s="6"/>
      <c r="G615" s="12"/>
    </row>
    <row r="616" spans="2:7" x14ac:dyDescent="0.25">
      <c r="B616" s="6"/>
      <c r="C616" s="12"/>
      <c r="D616" s="6"/>
      <c r="E616" s="12"/>
      <c r="F616" s="6"/>
      <c r="G616" s="12"/>
    </row>
    <row r="617" spans="2:7" x14ac:dyDescent="0.25">
      <c r="B617" s="6"/>
      <c r="C617" s="12"/>
      <c r="D617" s="6"/>
      <c r="E617" s="12"/>
      <c r="F617" s="6"/>
      <c r="G617" s="12"/>
    </row>
    <row r="618" spans="2:7" x14ac:dyDescent="0.25">
      <c r="B618" s="6"/>
      <c r="C618" s="12"/>
      <c r="D618" s="6"/>
      <c r="E618" s="12"/>
      <c r="F618" s="6"/>
      <c r="G618" s="12"/>
    </row>
    <row r="619" spans="2:7" x14ac:dyDescent="0.25">
      <c r="B619" s="6"/>
      <c r="C619" s="12"/>
      <c r="D619" s="6"/>
      <c r="E619" s="12"/>
      <c r="F619" s="6"/>
      <c r="G619" s="12"/>
    </row>
    <row r="620" spans="2:7" x14ac:dyDescent="0.25">
      <c r="B620" s="6"/>
      <c r="C620" s="12"/>
      <c r="D620" s="6"/>
      <c r="E620" s="12"/>
      <c r="F620" s="6"/>
      <c r="G620" s="12"/>
    </row>
    <row r="621" spans="2:7" x14ac:dyDescent="0.25">
      <c r="B621" s="6"/>
      <c r="C621" s="12"/>
      <c r="D621" s="6"/>
      <c r="E621" s="12"/>
      <c r="F621" s="6"/>
      <c r="G621" s="12"/>
    </row>
    <row r="622" spans="2:7" x14ac:dyDescent="0.25">
      <c r="B622" s="6"/>
      <c r="C622" s="12"/>
      <c r="D622" s="6"/>
      <c r="E622" s="12"/>
      <c r="F622" s="6"/>
      <c r="G622" s="12"/>
    </row>
    <row r="623" spans="2:7" x14ac:dyDescent="0.25">
      <c r="B623" s="6"/>
      <c r="C623" s="12"/>
      <c r="D623" s="6"/>
      <c r="E623" s="12"/>
      <c r="F623" s="6"/>
      <c r="G623" s="12"/>
    </row>
    <row r="624" spans="2:7" x14ac:dyDescent="0.25">
      <c r="B624" s="6"/>
      <c r="C624" s="12"/>
      <c r="D624" s="6"/>
      <c r="E624" s="12"/>
      <c r="F624" s="6"/>
      <c r="G624" s="12"/>
    </row>
    <row r="625" spans="2:7" x14ac:dyDescent="0.25">
      <c r="B625" s="6"/>
      <c r="C625" s="12"/>
      <c r="D625" s="6"/>
      <c r="E625" s="12"/>
      <c r="F625" s="6"/>
      <c r="G625" s="12"/>
    </row>
    <row r="626" spans="2:7" x14ac:dyDescent="0.25">
      <c r="B626" s="6"/>
      <c r="C626" s="12"/>
      <c r="D626" s="6"/>
      <c r="E626" s="12"/>
      <c r="F626" s="6"/>
      <c r="G626" s="12"/>
    </row>
    <row r="627" spans="2:7" x14ac:dyDescent="0.25">
      <c r="B627" s="6"/>
      <c r="C627" s="12"/>
      <c r="D627" s="6"/>
      <c r="E627" s="12"/>
      <c r="F627" s="6"/>
      <c r="G627" s="12"/>
    </row>
    <row r="628" spans="2:7" x14ac:dyDescent="0.25">
      <c r="B628" s="6"/>
      <c r="C628" s="12"/>
      <c r="D628" s="6"/>
      <c r="E628" s="12"/>
      <c r="F628" s="6"/>
      <c r="G628" s="12"/>
    </row>
    <row r="629" spans="2:7" x14ac:dyDescent="0.25">
      <c r="B629" s="6"/>
      <c r="C629" s="12"/>
      <c r="D629" s="6"/>
      <c r="E629" s="12"/>
      <c r="F629" s="6"/>
      <c r="G629" s="12"/>
    </row>
    <row r="630" spans="2:7" x14ac:dyDescent="0.25">
      <c r="B630" s="6"/>
      <c r="C630" s="12"/>
      <c r="D630" s="6"/>
      <c r="E630" s="12"/>
      <c r="F630" s="6"/>
      <c r="G630" s="12"/>
    </row>
    <row r="631" spans="2:7" x14ac:dyDescent="0.25">
      <c r="B631" s="6"/>
      <c r="C631" s="12"/>
      <c r="D631" s="6"/>
      <c r="E631" s="12"/>
      <c r="F631" s="6"/>
      <c r="G631" s="12"/>
    </row>
    <row r="632" spans="2:7" x14ac:dyDescent="0.25">
      <c r="B632" s="6"/>
      <c r="C632" s="12"/>
      <c r="D632" s="6"/>
      <c r="E632" s="12"/>
      <c r="F632" s="6"/>
      <c r="G632" s="12"/>
    </row>
    <row r="633" spans="2:7" x14ac:dyDescent="0.25">
      <c r="B633" s="6"/>
      <c r="C633" s="12"/>
      <c r="D633" s="6"/>
      <c r="E633" s="12"/>
      <c r="F633" s="6"/>
      <c r="G633" s="12"/>
    </row>
    <row r="634" spans="2:7" x14ac:dyDescent="0.25">
      <c r="B634" s="6"/>
      <c r="C634" s="12"/>
      <c r="D634" s="6"/>
      <c r="E634" s="12"/>
      <c r="F634" s="6"/>
      <c r="G634" s="12"/>
    </row>
    <row r="635" spans="2:7" x14ac:dyDescent="0.25">
      <c r="B635" s="6"/>
      <c r="C635" s="12"/>
      <c r="D635" s="6"/>
      <c r="E635" s="12"/>
      <c r="F635" s="6"/>
      <c r="G635" s="12"/>
    </row>
    <row r="636" spans="2:7" x14ac:dyDescent="0.25">
      <c r="B636" s="6"/>
      <c r="C636" s="12"/>
      <c r="D636" s="6"/>
      <c r="E636" s="12"/>
      <c r="F636" s="6"/>
      <c r="G636" s="12"/>
    </row>
    <row r="637" spans="2:7" x14ac:dyDescent="0.25">
      <c r="B637" s="6"/>
      <c r="C637" s="12"/>
      <c r="D637" s="6"/>
      <c r="E637" s="12"/>
      <c r="F637" s="6"/>
      <c r="G637" s="12"/>
    </row>
    <row r="638" spans="2:7" x14ac:dyDescent="0.25">
      <c r="B638" s="6"/>
      <c r="C638" s="12"/>
      <c r="D638" s="6"/>
      <c r="E638" s="12"/>
      <c r="F638" s="6"/>
      <c r="G638" s="12"/>
    </row>
    <row r="639" spans="2:7" x14ac:dyDescent="0.25">
      <c r="B639" s="6"/>
      <c r="C639" s="12"/>
      <c r="D639" s="6"/>
      <c r="E639" s="12"/>
      <c r="F639" s="6"/>
      <c r="G639" s="12"/>
    </row>
    <row r="640" spans="2:7" x14ac:dyDescent="0.25">
      <c r="B640" s="6"/>
      <c r="C640" s="12"/>
      <c r="D640" s="6"/>
      <c r="E640" s="12"/>
      <c r="F640" s="6"/>
      <c r="G640" s="12"/>
    </row>
    <row r="641" spans="2:7" x14ac:dyDescent="0.25">
      <c r="B641" s="6"/>
      <c r="C641" s="12"/>
      <c r="D641" s="6"/>
      <c r="E641" s="12"/>
      <c r="F641" s="6"/>
      <c r="G641" s="12"/>
    </row>
    <row r="642" spans="2:7" x14ac:dyDescent="0.25">
      <c r="B642" s="6"/>
      <c r="C642" s="12"/>
      <c r="D642" s="6"/>
      <c r="E642" s="12"/>
      <c r="F642" s="6"/>
      <c r="G642" s="12"/>
    </row>
    <row r="643" spans="2:7" x14ac:dyDescent="0.25">
      <c r="B643" s="6"/>
      <c r="C643" s="12"/>
      <c r="D643" s="6"/>
      <c r="E643" s="12"/>
      <c r="F643" s="6"/>
      <c r="G643" s="12"/>
    </row>
    <row r="644" spans="2:7" x14ac:dyDescent="0.25">
      <c r="B644" s="6"/>
      <c r="C644" s="12"/>
      <c r="D644" s="6"/>
      <c r="E644" s="12"/>
      <c r="F644" s="6"/>
      <c r="G644" s="12"/>
    </row>
    <row r="645" spans="2:7" x14ac:dyDescent="0.25">
      <c r="B645" s="6"/>
      <c r="C645" s="12"/>
      <c r="D645" s="6"/>
      <c r="E645" s="12"/>
      <c r="F645" s="6"/>
      <c r="G645" s="12"/>
    </row>
    <row r="646" spans="2:7" x14ac:dyDescent="0.25">
      <c r="B646" s="6"/>
      <c r="C646" s="12"/>
      <c r="D646" s="6"/>
      <c r="E646" s="12"/>
      <c r="F646" s="6"/>
      <c r="G646" s="12"/>
    </row>
    <row r="647" spans="2:7" x14ac:dyDescent="0.25">
      <c r="B647" s="6"/>
      <c r="C647" s="12"/>
      <c r="D647" s="6"/>
      <c r="E647" s="12"/>
      <c r="F647" s="6"/>
      <c r="G647" s="12"/>
    </row>
    <row r="648" spans="2:7" x14ac:dyDescent="0.25">
      <c r="B648" s="6"/>
      <c r="C648" s="12"/>
      <c r="D648" s="6"/>
      <c r="E648" s="12"/>
      <c r="F648" s="6"/>
      <c r="G648" s="12"/>
    </row>
    <row r="649" spans="2:7" x14ac:dyDescent="0.25">
      <c r="B649" s="6"/>
      <c r="C649" s="12"/>
      <c r="D649" s="6"/>
      <c r="E649" s="12"/>
      <c r="F649" s="6"/>
      <c r="G649" s="12"/>
    </row>
    <row r="650" spans="2:7" x14ac:dyDescent="0.25">
      <c r="B650" s="6"/>
      <c r="C650" s="12"/>
      <c r="D650" s="6"/>
      <c r="E650" s="12"/>
      <c r="F650" s="6"/>
      <c r="G650" s="12"/>
    </row>
    <row r="651" spans="2:7" x14ac:dyDescent="0.25">
      <c r="B651" s="6"/>
      <c r="C651" s="12"/>
      <c r="D651" s="6"/>
      <c r="E651" s="12"/>
      <c r="F651" s="6"/>
      <c r="G651" s="12"/>
    </row>
    <row r="652" spans="2:7" x14ac:dyDescent="0.25">
      <c r="B652" s="6"/>
      <c r="C652" s="12"/>
      <c r="D652" s="6"/>
      <c r="E652" s="12"/>
      <c r="F652" s="6"/>
      <c r="G652" s="12"/>
    </row>
    <row r="653" spans="2:7" x14ac:dyDescent="0.25">
      <c r="B653" s="6"/>
      <c r="C653" s="12"/>
      <c r="D653" s="6"/>
      <c r="E653" s="12"/>
      <c r="F653" s="6"/>
      <c r="G653" s="12"/>
    </row>
    <row r="654" spans="2:7" x14ac:dyDescent="0.25">
      <c r="B654" s="6"/>
      <c r="C654" s="12"/>
      <c r="D654" s="6"/>
      <c r="E654" s="12"/>
      <c r="F654" s="6"/>
      <c r="G654" s="12"/>
    </row>
    <row r="655" spans="2:7" x14ac:dyDescent="0.25">
      <c r="B655" s="6"/>
      <c r="C655" s="12"/>
      <c r="D655" s="6"/>
      <c r="E655" s="12"/>
      <c r="F655" s="6"/>
      <c r="G655" s="12"/>
    </row>
    <row r="656" spans="2:7" x14ac:dyDescent="0.25">
      <c r="B656" s="6"/>
      <c r="C656" s="12"/>
      <c r="D656" s="6"/>
      <c r="E656" s="12"/>
      <c r="F656" s="6"/>
      <c r="G656" s="12"/>
    </row>
    <row r="657" spans="2:7" x14ac:dyDescent="0.25">
      <c r="B657" s="6"/>
      <c r="C657" s="12"/>
      <c r="D657" s="6"/>
      <c r="E657" s="12"/>
      <c r="F657" s="6"/>
      <c r="G657" s="12"/>
    </row>
    <row r="658" spans="2:7" x14ac:dyDescent="0.25">
      <c r="B658" s="6"/>
      <c r="C658" s="12"/>
      <c r="D658" s="6"/>
      <c r="E658" s="12"/>
      <c r="F658" s="6"/>
      <c r="G658" s="12"/>
    </row>
    <row r="659" spans="2:7" x14ac:dyDescent="0.25">
      <c r="B659" s="6"/>
      <c r="C659" s="12"/>
      <c r="D659" s="6"/>
      <c r="E659" s="12"/>
      <c r="F659" s="6"/>
      <c r="G659" s="12"/>
    </row>
    <row r="660" spans="2:7" x14ac:dyDescent="0.25">
      <c r="B660" s="6"/>
      <c r="C660" s="12"/>
      <c r="D660" s="6"/>
      <c r="E660" s="12"/>
      <c r="F660" s="6"/>
      <c r="G660" s="12"/>
    </row>
    <row r="661" spans="2:7" x14ac:dyDescent="0.25">
      <c r="B661" s="6"/>
      <c r="C661" s="12"/>
      <c r="D661" s="6"/>
      <c r="E661" s="12"/>
      <c r="F661" s="6"/>
      <c r="G661" s="12"/>
    </row>
    <row r="662" spans="2:7" x14ac:dyDescent="0.25">
      <c r="B662" s="6"/>
      <c r="C662" s="12"/>
      <c r="D662" s="6"/>
      <c r="E662" s="12"/>
      <c r="F662" s="6"/>
      <c r="G662" s="12"/>
    </row>
    <row r="663" spans="2:7" x14ac:dyDescent="0.25">
      <c r="B663" s="6"/>
      <c r="C663" s="12"/>
      <c r="D663" s="6"/>
      <c r="E663" s="12"/>
      <c r="F663" s="6"/>
      <c r="G663" s="12"/>
    </row>
    <row r="664" spans="2:7" x14ac:dyDescent="0.25">
      <c r="B664" s="6"/>
      <c r="C664" s="12"/>
      <c r="D664" s="6"/>
      <c r="E664" s="12"/>
      <c r="F664" s="6"/>
      <c r="G664" s="12"/>
    </row>
    <row r="665" spans="2:7" x14ac:dyDescent="0.25">
      <c r="B665" s="6"/>
      <c r="C665" s="12"/>
      <c r="D665" s="6"/>
      <c r="E665" s="12"/>
      <c r="F665" s="6"/>
      <c r="G665" s="12"/>
    </row>
    <row r="666" spans="2:7" x14ac:dyDescent="0.25">
      <c r="B666" s="6"/>
      <c r="C666" s="12"/>
      <c r="D666" s="6"/>
      <c r="E666" s="12"/>
      <c r="F666" s="6"/>
      <c r="G666" s="12"/>
    </row>
    <row r="667" spans="2:7" x14ac:dyDescent="0.25">
      <c r="B667" s="6"/>
      <c r="C667" s="12"/>
      <c r="D667" s="6"/>
      <c r="E667" s="12"/>
      <c r="F667" s="6"/>
      <c r="G667" s="12"/>
    </row>
    <row r="668" spans="2:7" x14ac:dyDescent="0.25">
      <c r="B668" s="6"/>
      <c r="C668" s="12"/>
      <c r="D668" s="6"/>
      <c r="E668" s="12"/>
      <c r="F668" s="6"/>
      <c r="G668" s="12"/>
    </row>
    <row r="669" spans="2:7" x14ac:dyDescent="0.25">
      <c r="B669" s="6"/>
      <c r="C669" s="12"/>
      <c r="D669" s="6"/>
      <c r="E669" s="12"/>
      <c r="F669" s="6"/>
      <c r="G669" s="12"/>
    </row>
    <row r="670" spans="2:7" x14ac:dyDescent="0.25">
      <c r="B670" s="6"/>
      <c r="C670" s="12"/>
      <c r="D670" s="6"/>
      <c r="E670" s="12"/>
      <c r="F670" s="6"/>
      <c r="G670" s="12"/>
    </row>
    <row r="671" spans="2:7" x14ac:dyDescent="0.25">
      <c r="B671" s="6"/>
      <c r="C671" s="12"/>
      <c r="D671" s="6"/>
      <c r="E671" s="12"/>
      <c r="F671" s="6"/>
      <c r="G671" s="12"/>
    </row>
    <row r="672" spans="2:7" x14ac:dyDescent="0.25">
      <c r="B672" s="6"/>
      <c r="C672" s="12"/>
      <c r="D672" s="6"/>
      <c r="E672" s="12"/>
      <c r="F672" s="6"/>
      <c r="G672" s="12"/>
    </row>
    <row r="673" spans="2:7" x14ac:dyDescent="0.25">
      <c r="B673" s="6"/>
      <c r="C673" s="12"/>
      <c r="D673" s="6"/>
      <c r="E673" s="12"/>
      <c r="F673" s="6"/>
      <c r="G673" s="12"/>
    </row>
    <row r="674" spans="2:7" x14ac:dyDescent="0.25">
      <c r="B674" s="6"/>
      <c r="C674" s="12"/>
      <c r="D674" s="6"/>
      <c r="E674" s="12"/>
      <c r="F674" s="6"/>
      <c r="G674" s="12"/>
    </row>
    <row r="675" spans="2:7" x14ac:dyDescent="0.25">
      <c r="B675" s="6"/>
      <c r="C675" s="12"/>
      <c r="D675" s="6"/>
      <c r="E675" s="12"/>
      <c r="F675" s="6"/>
      <c r="G675" s="12"/>
    </row>
    <row r="676" spans="2:7" x14ac:dyDescent="0.25">
      <c r="B676" s="6"/>
      <c r="C676" s="12"/>
      <c r="D676" s="6"/>
      <c r="E676" s="12"/>
      <c r="F676" s="6"/>
      <c r="G676" s="12"/>
    </row>
    <row r="677" spans="2:7" x14ac:dyDescent="0.25">
      <c r="B677" s="6"/>
      <c r="C677" s="12"/>
      <c r="D677" s="6"/>
      <c r="E677" s="12"/>
      <c r="F677" s="6"/>
      <c r="G677" s="12"/>
    </row>
    <row r="678" spans="2:7" x14ac:dyDescent="0.25">
      <c r="B678" s="6"/>
      <c r="C678" s="12"/>
      <c r="D678" s="6"/>
      <c r="E678" s="12"/>
      <c r="F678" s="6"/>
      <c r="G678" s="12"/>
    </row>
    <row r="679" spans="2:7" x14ac:dyDescent="0.25">
      <c r="B679" s="6"/>
      <c r="C679" s="12"/>
      <c r="D679" s="6"/>
      <c r="E679" s="12"/>
      <c r="F679" s="6"/>
      <c r="G679" s="12"/>
    </row>
    <row r="680" spans="2:7" x14ac:dyDescent="0.25">
      <c r="B680" s="6"/>
      <c r="C680" s="12"/>
      <c r="D680" s="6"/>
      <c r="E680" s="12"/>
      <c r="F680" s="6"/>
      <c r="G680" s="12"/>
    </row>
    <row r="681" spans="2:7" x14ac:dyDescent="0.25">
      <c r="B681" s="6"/>
      <c r="C681" s="12"/>
      <c r="D681" s="6"/>
      <c r="E681" s="12"/>
      <c r="F681" s="6"/>
      <c r="G681" s="12"/>
    </row>
    <row r="682" spans="2:7" x14ac:dyDescent="0.25">
      <c r="B682" s="6"/>
      <c r="C682" s="12"/>
      <c r="D682" s="6"/>
      <c r="E682" s="12"/>
      <c r="F682" s="6"/>
      <c r="G682" s="12"/>
    </row>
    <row r="683" spans="2:7" x14ac:dyDescent="0.25">
      <c r="B683" s="6"/>
      <c r="C683" s="12"/>
      <c r="D683" s="6"/>
      <c r="E683" s="12"/>
      <c r="F683" s="6"/>
      <c r="G683" s="12"/>
    </row>
    <row r="684" spans="2:7" x14ac:dyDescent="0.25">
      <c r="B684" s="6"/>
      <c r="C684" s="12"/>
      <c r="D684" s="6"/>
      <c r="E684" s="12"/>
      <c r="F684" s="6"/>
      <c r="G684" s="12"/>
    </row>
    <row r="685" spans="2:7" x14ac:dyDescent="0.25">
      <c r="B685" s="6"/>
      <c r="C685" s="12"/>
      <c r="D685" s="6"/>
      <c r="E685" s="12"/>
      <c r="F685" s="6"/>
      <c r="G685" s="12"/>
    </row>
    <row r="686" spans="2:7" x14ac:dyDescent="0.25">
      <c r="B686" s="6"/>
      <c r="C686" s="12"/>
      <c r="D686" s="6"/>
      <c r="E686" s="12"/>
      <c r="F686" s="6"/>
      <c r="G686" s="12"/>
    </row>
    <row r="687" spans="2:7" x14ac:dyDescent="0.25">
      <c r="B687" s="6"/>
      <c r="C687" s="12"/>
      <c r="D687" s="6"/>
      <c r="E687" s="12"/>
      <c r="F687" s="6"/>
      <c r="G687" s="12"/>
    </row>
    <row r="688" spans="2:7" x14ac:dyDescent="0.25">
      <c r="B688" s="6"/>
      <c r="C688" s="12"/>
      <c r="D688" s="6"/>
      <c r="E688" s="12"/>
      <c r="F688" s="6"/>
      <c r="G688" s="12"/>
    </row>
    <row r="689" spans="2:7" x14ac:dyDescent="0.25">
      <c r="B689" s="6"/>
      <c r="C689" s="12"/>
      <c r="D689" s="6"/>
      <c r="E689" s="12"/>
      <c r="F689" s="6"/>
      <c r="G689" s="12"/>
    </row>
    <row r="690" spans="2:7" x14ac:dyDescent="0.25">
      <c r="B690" s="6"/>
      <c r="C690" s="12"/>
      <c r="D690" s="6"/>
      <c r="E690" s="12"/>
      <c r="F690" s="6"/>
      <c r="G690" s="12"/>
    </row>
    <row r="691" spans="2:7" x14ac:dyDescent="0.25">
      <c r="B691" s="6"/>
      <c r="C691" s="12"/>
      <c r="D691" s="6"/>
      <c r="E691" s="12"/>
      <c r="F691" s="6"/>
      <c r="G691" s="12"/>
    </row>
    <row r="692" spans="2:7" x14ac:dyDescent="0.25">
      <c r="B692" s="6"/>
      <c r="C692" s="12"/>
      <c r="D692" s="6"/>
      <c r="E692" s="12"/>
      <c r="F692" s="6"/>
      <c r="G692" s="12"/>
    </row>
    <row r="693" spans="2:7" x14ac:dyDescent="0.25">
      <c r="B693" s="6"/>
      <c r="C693" s="12"/>
      <c r="D693" s="6"/>
      <c r="E693" s="12"/>
      <c r="F693" s="6"/>
      <c r="G693" s="12"/>
    </row>
    <row r="694" spans="2:7" x14ac:dyDescent="0.25">
      <c r="B694" s="6"/>
      <c r="C694" s="12"/>
      <c r="D694" s="6"/>
      <c r="E694" s="12"/>
      <c r="F694" s="6"/>
      <c r="G694" s="12"/>
    </row>
    <row r="695" spans="2:7" x14ac:dyDescent="0.25">
      <c r="B695" s="6"/>
      <c r="C695" s="12"/>
      <c r="D695" s="6"/>
      <c r="E695" s="12"/>
      <c r="F695" s="6"/>
      <c r="G695" s="12"/>
    </row>
    <row r="696" spans="2:7" x14ac:dyDescent="0.25">
      <c r="B696" s="6"/>
      <c r="C696" s="12"/>
      <c r="D696" s="6"/>
      <c r="E696" s="12"/>
      <c r="F696" s="6"/>
      <c r="G696" s="12"/>
    </row>
    <row r="697" spans="2:7" x14ac:dyDescent="0.25">
      <c r="B697" s="6"/>
      <c r="C697" s="12"/>
      <c r="D697" s="6"/>
      <c r="E697" s="12"/>
      <c r="F697" s="6"/>
      <c r="G697" s="12"/>
    </row>
    <row r="698" spans="2:7" x14ac:dyDescent="0.25">
      <c r="B698" s="6"/>
      <c r="C698" s="12"/>
      <c r="D698" s="6"/>
      <c r="E698" s="12"/>
      <c r="F698" s="6"/>
      <c r="G698" s="12"/>
    </row>
    <row r="699" spans="2:7" x14ac:dyDescent="0.25">
      <c r="B699" s="6"/>
      <c r="C699" s="12"/>
      <c r="D699" s="6"/>
      <c r="E699" s="12"/>
      <c r="F699" s="6"/>
      <c r="G699" s="12"/>
    </row>
    <row r="700" spans="2:7" x14ac:dyDescent="0.25">
      <c r="B700" s="6"/>
      <c r="C700" s="12"/>
      <c r="D700" s="6"/>
      <c r="E700" s="12"/>
      <c r="F700" s="6"/>
      <c r="G700" s="12"/>
    </row>
    <row r="701" spans="2:7" x14ac:dyDescent="0.25">
      <c r="B701" s="6"/>
      <c r="C701" s="12"/>
      <c r="D701" s="6"/>
      <c r="E701" s="12"/>
      <c r="F701" s="6"/>
      <c r="G701" s="12"/>
    </row>
    <row r="702" spans="2:7" x14ac:dyDescent="0.25">
      <c r="B702" s="6"/>
      <c r="C702" s="12"/>
      <c r="D702" s="6"/>
      <c r="E702" s="12"/>
      <c r="F702" s="6"/>
      <c r="G702" s="12"/>
    </row>
    <row r="703" spans="2:7" x14ac:dyDescent="0.25">
      <c r="B703" s="6"/>
      <c r="C703" s="12"/>
      <c r="D703" s="6"/>
      <c r="E703" s="12"/>
      <c r="F703" s="6"/>
      <c r="G703" s="12"/>
    </row>
    <row r="704" spans="2:7" x14ac:dyDescent="0.25">
      <c r="B704" s="6"/>
      <c r="C704" s="12"/>
      <c r="D704" s="6"/>
      <c r="E704" s="12"/>
      <c r="F704" s="6"/>
      <c r="G704" s="12"/>
    </row>
    <row r="705" spans="2:7" x14ac:dyDescent="0.25">
      <c r="B705" s="6"/>
      <c r="C705" s="12"/>
      <c r="D705" s="6"/>
      <c r="E705" s="12"/>
      <c r="F705" s="6"/>
      <c r="G705" s="12"/>
    </row>
    <row r="706" spans="2:7" x14ac:dyDescent="0.25">
      <c r="B706" s="6"/>
      <c r="C706" s="12"/>
      <c r="D706" s="6"/>
      <c r="E706" s="12"/>
      <c r="F706" s="6"/>
      <c r="G706" s="12"/>
    </row>
    <row r="707" spans="2:7" x14ac:dyDescent="0.25">
      <c r="B707" s="6"/>
      <c r="C707" s="12"/>
      <c r="D707" s="6"/>
      <c r="E707" s="12"/>
      <c r="F707" s="6"/>
      <c r="G707" s="12"/>
    </row>
    <row r="708" spans="2:7" x14ac:dyDescent="0.25">
      <c r="B708" s="6"/>
      <c r="C708" s="12"/>
      <c r="D708" s="6"/>
      <c r="E708" s="12"/>
      <c r="F708" s="6"/>
      <c r="G708" s="12"/>
    </row>
    <row r="709" spans="2:7" x14ac:dyDescent="0.25">
      <c r="B709" s="6"/>
      <c r="C709" s="12"/>
      <c r="D709" s="6"/>
      <c r="E709" s="12"/>
      <c r="F709" s="6"/>
      <c r="G709" s="12"/>
    </row>
    <row r="710" spans="2:7" x14ac:dyDescent="0.25">
      <c r="B710" s="6"/>
      <c r="C710" s="12"/>
      <c r="D710" s="6"/>
      <c r="E710" s="12"/>
      <c r="F710" s="6"/>
      <c r="G710" s="12"/>
    </row>
    <row r="711" spans="2:7" x14ac:dyDescent="0.25">
      <c r="B711" s="6"/>
      <c r="C711" s="12"/>
      <c r="D711" s="6"/>
      <c r="E711" s="12"/>
      <c r="F711" s="6"/>
      <c r="G711" s="12"/>
    </row>
    <row r="712" spans="2:7" x14ac:dyDescent="0.25">
      <c r="B712" s="6"/>
      <c r="C712" s="12"/>
      <c r="D712" s="6"/>
      <c r="E712" s="12"/>
      <c r="F712" s="6"/>
      <c r="G712" s="12"/>
    </row>
    <row r="713" spans="2:7" x14ac:dyDescent="0.25">
      <c r="B713" s="6"/>
      <c r="C713" s="12"/>
      <c r="D713" s="6"/>
      <c r="E713" s="12"/>
      <c r="F713" s="6"/>
      <c r="G713" s="12"/>
    </row>
    <row r="714" spans="2:7" x14ac:dyDescent="0.25">
      <c r="B714" s="6"/>
      <c r="C714" s="12"/>
      <c r="D714" s="6"/>
      <c r="E714" s="12"/>
      <c r="F714" s="6"/>
      <c r="G714" s="12"/>
    </row>
    <row r="715" spans="2:7" x14ac:dyDescent="0.25">
      <c r="B715" s="6"/>
      <c r="C715" s="12"/>
      <c r="D715" s="6"/>
      <c r="E715" s="12"/>
      <c r="F715" s="6"/>
      <c r="G715" s="12"/>
    </row>
    <row r="716" spans="2:7" x14ac:dyDescent="0.25">
      <c r="B716" s="6"/>
      <c r="C716" s="12"/>
      <c r="D716" s="6"/>
      <c r="E716" s="12"/>
      <c r="F716" s="6"/>
      <c r="G716" s="12"/>
    </row>
    <row r="717" spans="2:7" x14ac:dyDescent="0.25">
      <c r="B717" s="6"/>
      <c r="C717" s="12"/>
      <c r="D717" s="6"/>
      <c r="E717" s="12"/>
      <c r="F717" s="6"/>
      <c r="G717" s="12"/>
    </row>
    <row r="718" spans="2:7" x14ac:dyDescent="0.25">
      <c r="B718" s="6"/>
      <c r="C718" s="12"/>
      <c r="D718" s="6"/>
      <c r="E718" s="12"/>
      <c r="F718" s="6"/>
      <c r="G718" s="12"/>
    </row>
    <row r="719" spans="2:7" x14ac:dyDescent="0.25">
      <c r="B719" s="6"/>
      <c r="C719" s="12"/>
      <c r="D719" s="6"/>
      <c r="E719" s="12"/>
      <c r="F719" s="6"/>
      <c r="G719" s="12"/>
    </row>
    <row r="720" spans="2:7" x14ac:dyDescent="0.25">
      <c r="B720" s="6"/>
      <c r="C720" s="12"/>
      <c r="D720" s="6"/>
      <c r="E720" s="12"/>
      <c r="F720" s="6"/>
      <c r="G720" s="12"/>
    </row>
    <row r="721" spans="2:7" x14ac:dyDescent="0.25">
      <c r="B721" s="6"/>
      <c r="C721" s="12"/>
      <c r="D721" s="6"/>
      <c r="E721" s="12"/>
      <c r="F721" s="6"/>
      <c r="G721" s="12"/>
    </row>
    <row r="722" spans="2:7" x14ac:dyDescent="0.25">
      <c r="B722" s="6"/>
      <c r="C722" s="12"/>
      <c r="D722" s="6"/>
      <c r="E722" s="12"/>
      <c r="F722" s="6"/>
      <c r="G722" s="12"/>
    </row>
    <row r="723" spans="2:7" x14ac:dyDescent="0.25">
      <c r="B723" s="6"/>
      <c r="C723" s="12"/>
      <c r="D723" s="6"/>
      <c r="E723" s="12"/>
      <c r="F723" s="6"/>
      <c r="G723" s="12"/>
    </row>
    <row r="724" spans="2:7" x14ac:dyDescent="0.25">
      <c r="B724" s="6"/>
      <c r="C724" s="12"/>
      <c r="D724" s="6"/>
      <c r="E724" s="12"/>
      <c r="F724" s="6"/>
      <c r="G724" s="12"/>
    </row>
    <row r="725" spans="2:7" x14ac:dyDescent="0.25">
      <c r="B725" s="6"/>
      <c r="C725" s="12"/>
      <c r="D725" s="6"/>
      <c r="E725" s="12"/>
      <c r="F725" s="6"/>
      <c r="G725" s="12"/>
    </row>
    <row r="726" spans="2:7" x14ac:dyDescent="0.25">
      <c r="B726" s="6"/>
      <c r="C726" s="12"/>
      <c r="D726" s="6"/>
      <c r="E726" s="12"/>
      <c r="F726" s="6"/>
      <c r="G726" s="12"/>
    </row>
    <row r="727" spans="2:7" x14ac:dyDescent="0.25">
      <c r="B727" s="6"/>
      <c r="C727" s="12"/>
      <c r="D727" s="6"/>
      <c r="E727" s="12"/>
      <c r="F727" s="6"/>
      <c r="G727" s="12"/>
    </row>
    <row r="728" spans="2:7" x14ac:dyDescent="0.25">
      <c r="B728" s="6"/>
      <c r="C728" s="12"/>
      <c r="D728" s="6"/>
      <c r="E728" s="12"/>
      <c r="F728" s="6"/>
      <c r="G728" s="12"/>
    </row>
    <row r="729" spans="2:7" x14ac:dyDescent="0.25">
      <c r="B729" s="6"/>
      <c r="C729" s="12"/>
      <c r="D729" s="6"/>
      <c r="E729" s="12"/>
      <c r="F729" s="6"/>
      <c r="G729" s="12"/>
    </row>
    <row r="730" spans="2:7" x14ac:dyDescent="0.25">
      <c r="B730" s="6"/>
      <c r="C730" s="12"/>
      <c r="D730" s="6"/>
      <c r="E730" s="12"/>
      <c r="F730" s="6"/>
      <c r="G730" s="12"/>
    </row>
    <row r="731" spans="2:7" x14ac:dyDescent="0.25">
      <c r="B731" s="6"/>
      <c r="C731" s="12"/>
      <c r="D731" s="6"/>
      <c r="E731" s="12"/>
      <c r="F731" s="6"/>
      <c r="G731" s="12"/>
    </row>
    <row r="732" spans="2:7" x14ac:dyDescent="0.25">
      <c r="B732" s="6"/>
      <c r="C732" s="12"/>
      <c r="D732" s="6"/>
      <c r="E732" s="12"/>
      <c r="F732" s="6"/>
      <c r="G732" s="12"/>
    </row>
    <row r="733" spans="2:7" x14ac:dyDescent="0.25">
      <c r="B733" s="6"/>
      <c r="C733" s="12"/>
      <c r="D733" s="6"/>
      <c r="E733" s="12"/>
      <c r="F733" s="6"/>
      <c r="G733" s="12"/>
    </row>
    <row r="734" spans="2:7" x14ac:dyDescent="0.25">
      <c r="B734" s="6"/>
      <c r="C734" s="12"/>
      <c r="D734" s="6"/>
      <c r="E734" s="12"/>
      <c r="F734" s="6"/>
      <c r="G734" s="12"/>
    </row>
    <row r="735" spans="2:7" x14ac:dyDescent="0.25">
      <c r="B735" s="6"/>
      <c r="C735" s="12"/>
      <c r="D735" s="6"/>
      <c r="E735" s="12"/>
      <c r="F735" s="6"/>
      <c r="G735" s="12"/>
    </row>
    <row r="736" spans="2:7" x14ac:dyDescent="0.25">
      <c r="B736" s="6"/>
      <c r="C736" s="12"/>
      <c r="D736" s="6"/>
      <c r="E736" s="12"/>
      <c r="F736" s="6"/>
      <c r="G736" s="12"/>
    </row>
    <row r="737" spans="2:7" x14ac:dyDescent="0.25">
      <c r="B737" s="6"/>
      <c r="C737" s="12"/>
      <c r="D737" s="6"/>
      <c r="E737" s="12"/>
      <c r="F737" s="6"/>
      <c r="G737" s="12"/>
    </row>
    <row r="738" spans="2:7" x14ac:dyDescent="0.25">
      <c r="B738" s="6"/>
      <c r="C738" s="12"/>
      <c r="D738" s="6"/>
      <c r="E738" s="12"/>
      <c r="F738" s="6"/>
      <c r="G738" s="12"/>
    </row>
    <row r="739" spans="2:7" x14ac:dyDescent="0.25">
      <c r="B739" s="6"/>
      <c r="C739" s="12"/>
      <c r="D739" s="6"/>
      <c r="E739" s="12"/>
      <c r="F739" s="6"/>
      <c r="G739" s="12"/>
    </row>
    <row r="740" spans="2:7" x14ac:dyDescent="0.25">
      <c r="B740" s="6"/>
      <c r="C740" s="12"/>
      <c r="D740" s="6"/>
      <c r="E740" s="12"/>
      <c r="F740" s="6"/>
      <c r="G740" s="12"/>
    </row>
    <row r="741" spans="2:7" x14ac:dyDescent="0.25">
      <c r="B741" s="6"/>
      <c r="C741" s="12"/>
      <c r="D741" s="6"/>
      <c r="E741" s="12"/>
      <c r="F741" s="6"/>
      <c r="G741" s="12"/>
    </row>
    <row r="742" spans="2:7" x14ac:dyDescent="0.25">
      <c r="B742" s="6"/>
      <c r="C742" s="12"/>
      <c r="D742" s="6"/>
      <c r="E742" s="12"/>
      <c r="F742" s="6"/>
      <c r="G742" s="12"/>
    </row>
    <row r="743" spans="2:7" x14ac:dyDescent="0.25">
      <c r="B743" s="6"/>
      <c r="C743" s="12"/>
      <c r="D743" s="6"/>
      <c r="E743" s="12"/>
      <c r="F743" s="6"/>
      <c r="G743" s="12"/>
    </row>
    <row r="744" spans="2:7" x14ac:dyDescent="0.25">
      <c r="B744" s="6"/>
      <c r="C744" s="12"/>
      <c r="D744" s="6"/>
      <c r="E744" s="12"/>
      <c r="F744" s="6"/>
      <c r="G744" s="12"/>
    </row>
    <row r="745" spans="2:7" x14ac:dyDescent="0.25">
      <c r="B745" s="6"/>
      <c r="C745" s="12"/>
      <c r="D745" s="6"/>
      <c r="E745" s="12"/>
      <c r="F745" s="6"/>
      <c r="G745" s="12"/>
    </row>
    <row r="746" spans="2:7" x14ac:dyDescent="0.25">
      <c r="B746" s="6"/>
      <c r="C746" s="12"/>
      <c r="D746" s="6"/>
      <c r="E746" s="12"/>
      <c r="F746" s="6"/>
      <c r="G746" s="12"/>
    </row>
    <row r="747" spans="2:7" x14ac:dyDescent="0.25">
      <c r="B747" s="6"/>
      <c r="C747" s="12"/>
      <c r="D747" s="6"/>
      <c r="E747" s="12"/>
      <c r="F747" s="6"/>
      <c r="G747" s="12"/>
    </row>
    <row r="748" spans="2:7" x14ac:dyDescent="0.25">
      <c r="B748" s="6"/>
      <c r="C748" s="12"/>
      <c r="D748" s="6"/>
      <c r="E748" s="12"/>
      <c r="F748" s="6"/>
      <c r="G748" s="12"/>
    </row>
    <row r="749" spans="2:7" x14ac:dyDescent="0.25">
      <c r="B749" s="6"/>
      <c r="C749" s="12"/>
      <c r="D749" s="6"/>
      <c r="E749" s="12"/>
      <c r="F749" s="6"/>
      <c r="G749" s="12"/>
    </row>
    <row r="750" spans="2:7" x14ac:dyDescent="0.25">
      <c r="B750" s="6"/>
      <c r="C750" s="12"/>
      <c r="D750" s="6"/>
      <c r="E750" s="12"/>
      <c r="F750" s="6"/>
      <c r="G750" s="12"/>
    </row>
    <row r="751" spans="2:7" x14ac:dyDescent="0.25">
      <c r="B751" s="6"/>
      <c r="C751" s="12"/>
      <c r="D751" s="6"/>
      <c r="E751" s="12"/>
      <c r="F751" s="6"/>
      <c r="G751" s="12"/>
    </row>
    <row r="752" spans="2:7" x14ac:dyDescent="0.25">
      <c r="B752" s="6"/>
      <c r="C752" s="12"/>
      <c r="D752" s="6"/>
      <c r="E752" s="12"/>
      <c r="F752" s="6"/>
      <c r="G752" s="12"/>
    </row>
    <row r="753" spans="2:7" x14ac:dyDescent="0.25">
      <c r="B753" s="6"/>
      <c r="C753" s="12"/>
      <c r="D753" s="6"/>
      <c r="E753" s="12"/>
      <c r="F753" s="6"/>
      <c r="G753" s="12"/>
    </row>
    <row r="754" spans="2:7" x14ac:dyDescent="0.25">
      <c r="B754" s="6"/>
      <c r="C754" s="12"/>
      <c r="D754" s="6"/>
      <c r="E754" s="12"/>
      <c r="F754" s="6"/>
      <c r="G754" s="12"/>
    </row>
    <row r="755" spans="2:7" x14ac:dyDescent="0.25">
      <c r="B755" s="6"/>
      <c r="C755" s="12"/>
      <c r="D755" s="6"/>
      <c r="E755" s="12"/>
      <c r="F755" s="6"/>
      <c r="G755" s="12"/>
    </row>
    <row r="756" spans="2:7" x14ac:dyDescent="0.25">
      <c r="B756" s="6"/>
      <c r="C756" s="12"/>
      <c r="D756" s="6"/>
      <c r="E756" s="12"/>
      <c r="F756" s="6"/>
      <c r="G756" s="12"/>
    </row>
    <row r="757" spans="2:7" x14ac:dyDescent="0.25">
      <c r="B757" s="6"/>
      <c r="C757" s="12"/>
      <c r="D757" s="6"/>
      <c r="E757" s="12"/>
      <c r="F757" s="6"/>
      <c r="G757" s="12"/>
    </row>
    <row r="758" spans="2:7" x14ac:dyDescent="0.25">
      <c r="B758" s="6"/>
      <c r="C758" s="12"/>
      <c r="D758" s="6"/>
      <c r="E758" s="12"/>
      <c r="F758" s="6"/>
      <c r="G758" s="12"/>
    </row>
    <row r="759" spans="2:7" x14ac:dyDescent="0.25">
      <c r="B759" s="6"/>
      <c r="C759" s="12"/>
      <c r="D759" s="6"/>
      <c r="E759" s="12"/>
      <c r="F759" s="6"/>
      <c r="G759" s="12"/>
    </row>
    <row r="760" spans="2:7" x14ac:dyDescent="0.25">
      <c r="B760" s="6"/>
      <c r="C760" s="12"/>
      <c r="D760" s="6"/>
      <c r="E760" s="12"/>
      <c r="F760" s="6"/>
      <c r="G760" s="12"/>
    </row>
    <row r="761" spans="2:7" x14ac:dyDescent="0.25">
      <c r="B761" s="6"/>
      <c r="C761" s="12"/>
      <c r="D761" s="6"/>
      <c r="E761" s="12"/>
      <c r="F761" s="6"/>
      <c r="G761" s="12"/>
    </row>
    <row r="762" spans="2:7" x14ac:dyDescent="0.25">
      <c r="B762" s="6"/>
      <c r="C762" s="12"/>
      <c r="D762" s="6"/>
      <c r="E762" s="12"/>
      <c r="F762" s="6"/>
      <c r="G762" s="12"/>
    </row>
    <row r="763" spans="2:7" x14ac:dyDescent="0.25">
      <c r="B763" s="6"/>
      <c r="C763" s="12"/>
      <c r="D763" s="6"/>
      <c r="E763" s="12"/>
      <c r="F763" s="6"/>
      <c r="G763" s="12"/>
    </row>
    <row r="764" spans="2:7" x14ac:dyDescent="0.25">
      <c r="B764" s="6"/>
      <c r="C764" s="12"/>
      <c r="D764" s="6"/>
      <c r="E764" s="12"/>
      <c r="F764" s="6"/>
      <c r="G764" s="12"/>
    </row>
    <row r="765" spans="2:7" x14ac:dyDescent="0.25">
      <c r="B765" s="6"/>
      <c r="C765" s="12"/>
      <c r="D765" s="6"/>
      <c r="E765" s="12"/>
      <c r="F765" s="6"/>
      <c r="G765" s="12"/>
    </row>
    <row r="766" spans="2:7" x14ac:dyDescent="0.25">
      <c r="B766" s="6"/>
      <c r="C766" s="12"/>
      <c r="D766" s="6"/>
      <c r="E766" s="12"/>
      <c r="F766" s="6"/>
      <c r="G766" s="12"/>
    </row>
    <row r="767" spans="2:7" x14ac:dyDescent="0.25">
      <c r="B767" s="6"/>
      <c r="C767" s="12"/>
      <c r="D767" s="6"/>
      <c r="E767" s="12"/>
      <c r="F767" s="6"/>
      <c r="G767" s="12"/>
    </row>
    <row r="768" spans="2:7" x14ac:dyDescent="0.25">
      <c r="B768" s="6"/>
      <c r="C768" s="12"/>
      <c r="D768" s="6"/>
      <c r="E768" s="12"/>
      <c r="F768" s="6"/>
      <c r="G768" s="12"/>
    </row>
    <row r="769" spans="2:7" x14ac:dyDescent="0.25">
      <c r="B769" s="6"/>
      <c r="C769" s="12"/>
      <c r="D769" s="6"/>
      <c r="E769" s="12"/>
      <c r="F769" s="6"/>
      <c r="G769" s="12"/>
    </row>
    <row r="770" spans="2:7" x14ac:dyDescent="0.25">
      <c r="B770" s="6"/>
      <c r="C770" s="12"/>
      <c r="D770" s="6"/>
      <c r="E770" s="12"/>
      <c r="F770" s="6"/>
      <c r="G770" s="12"/>
    </row>
    <row r="771" spans="2:7" x14ac:dyDescent="0.25">
      <c r="B771" s="6"/>
      <c r="C771" s="12"/>
      <c r="D771" s="6"/>
      <c r="E771" s="12"/>
      <c r="F771" s="6"/>
      <c r="G771" s="12"/>
    </row>
    <row r="772" spans="2:7" x14ac:dyDescent="0.25">
      <c r="B772" s="6"/>
      <c r="C772" s="12"/>
      <c r="D772" s="6"/>
      <c r="E772" s="12"/>
      <c r="F772" s="6"/>
      <c r="G772" s="12"/>
    </row>
    <row r="773" spans="2:7" x14ac:dyDescent="0.25">
      <c r="B773" s="6"/>
      <c r="C773" s="12"/>
      <c r="D773" s="6"/>
      <c r="E773" s="12"/>
      <c r="F773" s="6"/>
      <c r="G773" s="12"/>
    </row>
    <row r="774" spans="2:7" x14ac:dyDescent="0.25">
      <c r="B774" s="6"/>
      <c r="C774" s="12"/>
      <c r="D774" s="6"/>
      <c r="E774" s="12"/>
      <c r="F774" s="6"/>
      <c r="G774" s="12"/>
    </row>
    <row r="775" spans="2:7" x14ac:dyDescent="0.25">
      <c r="B775" s="6"/>
      <c r="C775" s="12"/>
      <c r="D775" s="6"/>
      <c r="E775" s="12"/>
      <c r="F775" s="6"/>
      <c r="G775" s="12"/>
    </row>
    <row r="776" spans="2:7" x14ac:dyDescent="0.25">
      <c r="B776" s="6"/>
      <c r="C776" s="12"/>
      <c r="D776" s="6"/>
      <c r="E776" s="12"/>
      <c r="F776" s="6"/>
      <c r="G776" s="12"/>
    </row>
    <row r="777" spans="2:7" x14ac:dyDescent="0.25">
      <c r="B777" s="6"/>
      <c r="C777" s="12"/>
      <c r="D777" s="6"/>
      <c r="E777" s="12"/>
      <c r="F777" s="6"/>
      <c r="G777" s="12"/>
    </row>
    <row r="778" spans="2:7" x14ac:dyDescent="0.25">
      <c r="B778" s="6"/>
      <c r="C778" s="12"/>
      <c r="D778" s="6"/>
      <c r="E778" s="12"/>
      <c r="F778" s="6"/>
      <c r="G778" s="12"/>
    </row>
    <row r="779" spans="2:7" x14ac:dyDescent="0.25">
      <c r="B779" s="6"/>
      <c r="C779" s="12"/>
      <c r="D779" s="6"/>
      <c r="E779" s="12"/>
      <c r="F779" s="6"/>
      <c r="G779" s="12"/>
    </row>
    <row r="780" spans="2:7" x14ac:dyDescent="0.25">
      <c r="B780" s="6"/>
      <c r="C780" s="12"/>
      <c r="D780" s="6"/>
      <c r="E780" s="12"/>
      <c r="F780" s="6"/>
      <c r="G780" s="12"/>
    </row>
    <row r="781" spans="2:7" x14ac:dyDescent="0.25">
      <c r="B781" s="6"/>
      <c r="C781" s="12"/>
      <c r="D781" s="6"/>
      <c r="E781" s="12"/>
      <c r="F781" s="6"/>
      <c r="G781" s="12"/>
    </row>
    <row r="782" spans="2:7" x14ac:dyDescent="0.25">
      <c r="B782" s="6"/>
      <c r="C782" s="12"/>
      <c r="D782" s="6"/>
      <c r="E782" s="12"/>
      <c r="F782" s="6"/>
      <c r="G782" s="12"/>
    </row>
    <row r="783" spans="2:7" x14ac:dyDescent="0.25">
      <c r="B783" s="6"/>
      <c r="C783" s="12"/>
      <c r="D783" s="6"/>
      <c r="E783" s="12"/>
      <c r="F783" s="6"/>
      <c r="G783" s="12"/>
    </row>
    <row r="784" spans="2:7" x14ac:dyDescent="0.25">
      <c r="B784" s="6"/>
      <c r="C784" s="12"/>
      <c r="D784" s="6"/>
      <c r="E784" s="12"/>
      <c r="F784" s="6"/>
      <c r="G784" s="12"/>
    </row>
    <row r="785" spans="2:7" x14ac:dyDescent="0.25">
      <c r="B785" s="6"/>
      <c r="C785" s="12"/>
      <c r="D785" s="6"/>
      <c r="E785" s="12"/>
      <c r="F785" s="6"/>
      <c r="G785" s="12"/>
    </row>
    <row r="786" spans="2:7" x14ac:dyDescent="0.25">
      <c r="B786" s="6"/>
      <c r="C786" s="12"/>
      <c r="D786" s="6"/>
      <c r="E786" s="12"/>
      <c r="F786" s="6"/>
      <c r="G786" s="12"/>
    </row>
    <row r="787" spans="2:7" x14ac:dyDescent="0.25">
      <c r="B787" s="6"/>
      <c r="C787" s="12"/>
      <c r="D787" s="6"/>
      <c r="E787" s="12"/>
      <c r="F787" s="6"/>
      <c r="G787" s="12"/>
    </row>
    <row r="788" spans="2:7" x14ac:dyDescent="0.25">
      <c r="B788" s="6"/>
      <c r="C788" s="12"/>
      <c r="D788" s="6"/>
      <c r="E788" s="12"/>
      <c r="F788" s="6"/>
      <c r="G788" s="12"/>
    </row>
    <row r="789" spans="2:7" x14ac:dyDescent="0.25">
      <c r="B789" s="6"/>
      <c r="C789" s="12"/>
      <c r="D789" s="6"/>
      <c r="E789" s="12"/>
      <c r="F789" s="6"/>
      <c r="G789" s="12"/>
    </row>
    <row r="790" spans="2:7" x14ac:dyDescent="0.25">
      <c r="B790" s="6"/>
      <c r="C790" s="12"/>
      <c r="D790" s="6"/>
      <c r="E790" s="12"/>
      <c r="F790" s="6"/>
      <c r="G790" s="12"/>
    </row>
    <row r="791" spans="2:7" x14ac:dyDescent="0.25">
      <c r="B791" s="6"/>
      <c r="C791" s="12"/>
      <c r="D791" s="6"/>
      <c r="E791" s="12"/>
      <c r="F791" s="6"/>
      <c r="G791" s="12"/>
    </row>
    <row r="792" spans="2:7" x14ac:dyDescent="0.25">
      <c r="B792" s="6"/>
      <c r="C792" s="12"/>
      <c r="D792" s="6"/>
      <c r="E792" s="12"/>
      <c r="F792" s="6"/>
      <c r="G792" s="12"/>
    </row>
    <row r="793" spans="2:7" x14ac:dyDescent="0.25">
      <c r="B793" s="6"/>
      <c r="C793" s="12"/>
      <c r="D793" s="6"/>
      <c r="E793" s="12"/>
      <c r="F793" s="6"/>
      <c r="G793" s="12"/>
    </row>
    <row r="794" spans="2:7" x14ac:dyDescent="0.25">
      <c r="B794" s="6"/>
      <c r="C794" s="12"/>
      <c r="D794" s="6"/>
      <c r="E794" s="12"/>
      <c r="F794" s="6"/>
      <c r="G794" s="12"/>
    </row>
    <row r="795" spans="2:7" x14ac:dyDescent="0.25">
      <c r="B795" s="6"/>
      <c r="C795" s="12"/>
      <c r="D795" s="6"/>
      <c r="E795" s="12"/>
      <c r="F795" s="6"/>
      <c r="G795" s="12"/>
    </row>
    <row r="796" spans="2:7" x14ac:dyDescent="0.25">
      <c r="B796" s="6"/>
      <c r="C796" s="12"/>
      <c r="D796" s="6"/>
      <c r="E796" s="12"/>
      <c r="F796" s="6"/>
      <c r="G796" s="12"/>
    </row>
    <row r="797" spans="2:7" x14ac:dyDescent="0.25">
      <c r="B797" s="6"/>
      <c r="C797" s="12"/>
      <c r="D797" s="6"/>
      <c r="E797" s="12"/>
      <c r="F797" s="6"/>
      <c r="G797" s="12"/>
    </row>
    <row r="798" spans="2:7" x14ac:dyDescent="0.25">
      <c r="B798" s="6"/>
      <c r="C798" s="12"/>
      <c r="D798" s="6"/>
      <c r="E798" s="12"/>
      <c r="F798" s="6"/>
      <c r="G798" s="12"/>
    </row>
    <row r="799" spans="2:7" x14ac:dyDescent="0.25">
      <c r="B799" s="6"/>
      <c r="C799" s="12"/>
      <c r="D799" s="6"/>
      <c r="E799" s="12"/>
      <c r="F799" s="6"/>
      <c r="G799" s="12"/>
    </row>
    <row r="800" spans="2:7" x14ac:dyDescent="0.25">
      <c r="B800" s="6"/>
      <c r="C800" s="12"/>
      <c r="D800" s="6"/>
      <c r="E800" s="12"/>
      <c r="F800" s="6"/>
      <c r="G800" s="12"/>
    </row>
    <row r="801" spans="2:7" x14ac:dyDescent="0.25">
      <c r="B801" s="6"/>
      <c r="C801" s="12"/>
      <c r="D801" s="6"/>
      <c r="E801" s="12"/>
      <c r="F801" s="6"/>
      <c r="G801" s="12"/>
    </row>
    <row r="802" spans="2:7" x14ac:dyDescent="0.25">
      <c r="B802" s="6"/>
      <c r="C802" s="12"/>
      <c r="D802" s="6"/>
      <c r="E802" s="12"/>
      <c r="F802" s="6"/>
      <c r="G802" s="12"/>
    </row>
    <row r="803" spans="2:7" x14ac:dyDescent="0.25">
      <c r="B803" s="6"/>
      <c r="C803" s="12"/>
      <c r="D803" s="6"/>
      <c r="E803" s="12"/>
      <c r="F803" s="6"/>
      <c r="G803" s="12"/>
    </row>
    <row r="804" spans="2:7" x14ac:dyDescent="0.25">
      <c r="B804" s="6"/>
      <c r="C804" s="12"/>
      <c r="D804" s="6"/>
      <c r="E804" s="12"/>
      <c r="F804" s="6"/>
      <c r="G804" s="12"/>
    </row>
    <row r="805" spans="2:7" x14ac:dyDescent="0.25">
      <c r="B805" s="6"/>
      <c r="C805" s="12"/>
      <c r="D805" s="6"/>
      <c r="E805" s="12"/>
      <c r="F805" s="6"/>
      <c r="G805" s="12"/>
    </row>
    <row r="806" spans="2:7" x14ac:dyDescent="0.25">
      <c r="B806" s="6"/>
      <c r="C806" s="12"/>
      <c r="D806" s="6"/>
      <c r="E806" s="12"/>
      <c r="F806" s="6"/>
      <c r="G806" s="12"/>
    </row>
    <row r="807" spans="2:7" x14ac:dyDescent="0.25">
      <c r="B807" s="6"/>
      <c r="C807" s="12"/>
      <c r="D807" s="6"/>
      <c r="E807" s="12"/>
      <c r="F807" s="6"/>
      <c r="G807" s="12"/>
    </row>
    <row r="808" spans="2:7" x14ac:dyDescent="0.25">
      <c r="B808" s="6"/>
      <c r="C808" s="12"/>
      <c r="D808" s="6"/>
      <c r="E808" s="12"/>
      <c r="F808" s="6"/>
      <c r="G808" s="12"/>
    </row>
    <row r="809" spans="2:7" x14ac:dyDescent="0.25">
      <c r="B809" s="6"/>
      <c r="C809" s="12"/>
      <c r="D809" s="6"/>
      <c r="E809" s="12"/>
      <c r="F809" s="6"/>
      <c r="G809" s="12"/>
    </row>
    <row r="810" spans="2:7" x14ac:dyDescent="0.25">
      <c r="B810" s="6"/>
      <c r="C810" s="12"/>
      <c r="D810" s="6"/>
      <c r="E810" s="12"/>
      <c r="F810" s="6"/>
      <c r="G810" s="12"/>
    </row>
    <row r="811" spans="2:7" x14ac:dyDescent="0.25">
      <c r="B811" s="6"/>
      <c r="C811" s="12"/>
      <c r="D811" s="6"/>
      <c r="E811" s="12"/>
      <c r="F811" s="6"/>
      <c r="G811" s="12"/>
    </row>
    <row r="812" spans="2:7" x14ac:dyDescent="0.25">
      <c r="B812" s="6"/>
      <c r="C812" s="12"/>
      <c r="D812" s="6"/>
      <c r="E812" s="12"/>
      <c r="F812" s="6"/>
      <c r="G812" s="12"/>
    </row>
    <row r="813" spans="2:7" x14ac:dyDescent="0.25">
      <c r="B813" s="6"/>
      <c r="C813" s="12"/>
      <c r="D813" s="6"/>
      <c r="E813" s="12"/>
      <c r="F813" s="6"/>
      <c r="G813" s="12"/>
    </row>
    <row r="814" spans="2:7" x14ac:dyDescent="0.25">
      <c r="B814" s="6"/>
      <c r="C814" s="12"/>
      <c r="D814" s="6"/>
      <c r="E814" s="12"/>
      <c r="F814" s="6"/>
      <c r="G814" s="12"/>
    </row>
    <row r="815" spans="2:7" x14ac:dyDescent="0.25">
      <c r="B815" s="6"/>
      <c r="C815" s="12"/>
      <c r="D815" s="6"/>
      <c r="E815" s="12"/>
      <c r="F815" s="6"/>
      <c r="G815" s="12"/>
    </row>
    <row r="816" spans="2:7" x14ac:dyDescent="0.25">
      <c r="B816" s="6"/>
      <c r="C816" s="12"/>
      <c r="D816" s="6"/>
      <c r="E816" s="12"/>
      <c r="F816" s="6"/>
      <c r="G816" s="12"/>
    </row>
    <row r="817" spans="2:7" x14ac:dyDescent="0.25">
      <c r="B817" s="6"/>
      <c r="C817" s="12"/>
      <c r="D817" s="6"/>
      <c r="E817" s="12"/>
      <c r="F817" s="6"/>
      <c r="G817" s="12"/>
    </row>
    <row r="818" spans="2:7" x14ac:dyDescent="0.25">
      <c r="B818" s="6"/>
      <c r="C818" s="12"/>
      <c r="D818" s="6"/>
      <c r="E818" s="12"/>
      <c r="F818" s="6"/>
      <c r="G818" s="12"/>
    </row>
    <row r="819" spans="2:7" x14ac:dyDescent="0.25">
      <c r="B819" s="6"/>
      <c r="C819" s="12"/>
      <c r="D819" s="6"/>
      <c r="E819" s="12"/>
      <c r="F819" s="6"/>
      <c r="G819" s="12"/>
    </row>
    <row r="820" spans="2:7" x14ac:dyDescent="0.25">
      <c r="B820" s="6"/>
      <c r="C820" s="12"/>
      <c r="D820" s="6"/>
      <c r="E820" s="12"/>
      <c r="F820" s="6"/>
      <c r="G820" s="12"/>
    </row>
    <row r="821" spans="2:7" x14ac:dyDescent="0.25">
      <c r="B821" s="6"/>
      <c r="C821" s="12"/>
      <c r="D821" s="6"/>
      <c r="E821" s="12"/>
      <c r="F821" s="6"/>
      <c r="G821" s="12"/>
    </row>
    <row r="822" spans="2:7" x14ac:dyDescent="0.25">
      <c r="B822" s="6"/>
      <c r="C822" s="12"/>
      <c r="D822" s="6"/>
      <c r="E822" s="12"/>
      <c r="F822" s="6"/>
      <c r="G822" s="12"/>
    </row>
    <row r="823" spans="2:7" x14ac:dyDescent="0.25">
      <c r="B823" s="6"/>
      <c r="C823" s="12"/>
      <c r="D823" s="6"/>
      <c r="E823" s="12"/>
      <c r="F823" s="6"/>
      <c r="G823" s="12"/>
    </row>
    <row r="824" spans="2:7" x14ac:dyDescent="0.25">
      <c r="B824" s="6"/>
      <c r="C824" s="12"/>
      <c r="D824" s="6"/>
      <c r="E824" s="12"/>
      <c r="F824" s="6"/>
      <c r="G824" s="12"/>
    </row>
    <row r="825" spans="2:7" x14ac:dyDescent="0.25">
      <c r="B825" s="6"/>
      <c r="C825" s="12"/>
      <c r="D825" s="6"/>
      <c r="E825" s="12"/>
      <c r="F825" s="6"/>
      <c r="G825" s="12"/>
    </row>
    <row r="826" spans="2:7" x14ac:dyDescent="0.25">
      <c r="B826" s="6"/>
      <c r="C826" s="12"/>
      <c r="D826" s="6"/>
      <c r="E826" s="12"/>
      <c r="F826" s="6"/>
      <c r="G826" s="12"/>
    </row>
    <row r="827" spans="2:7" x14ac:dyDescent="0.25">
      <c r="B827" s="6"/>
      <c r="C827" s="12"/>
      <c r="D827" s="6"/>
      <c r="E827" s="12"/>
      <c r="F827" s="6"/>
      <c r="G827" s="12"/>
    </row>
    <row r="828" spans="2:7" x14ac:dyDescent="0.25">
      <c r="B828" s="6"/>
      <c r="C828" s="12"/>
      <c r="D828" s="6"/>
      <c r="E828" s="12"/>
      <c r="F828" s="6"/>
      <c r="G828" s="12"/>
    </row>
    <row r="829" spans="2:7" x14ac:dyDescent="0.25">
      <c r="B829" s="6"/>
      <c r="C829" s="12"/>
      <c r="D829" s="6"/>
      <c r="E829" s="12"/>
      <c r="F829" s="6"/>
      <c r="G829" s="12"/>
    </row>
    <row r="830" spans="2:7" x14ac:dyDescent="0.25">
      <c r="B830" s="6"/>
      <c r="C830" s="12"/>
      <c r="D830" s="6"/>
      <c r="E830" s="12"/>
      <c r="F830" s="6"/>
      <c r="G830" s="12"/>
    </row>
    <row r="831" spans="2:7" x14ac:dyDescent="0.25">
      <c r="B831" s="6"/>
      <c r="C831" s="12"/>
      <c r="D831" s="6"/>
      <c r="E831" s="12"/>
      <c r="F831" s="6"/>
      <c r="G831" s="12"/>
    </row>
    <row r="832" spans="2:7" x14ac:dyDescent="0.25">
      <c r="B832" s="6"/>
      <c r="C832" s="12"/>
      <c r="D832" s="6"/>
      <c r="E832" s="12"/>
      <c r="F832" s="6"/>
      <c r="G832" s="12"/>
    </row>
    <row r="833" spans="2:7" x14ac:dyDescent="0.25">
      <c r="B833" s="6"/>
      <c r="C833" s="12"/>
      <c r="D833" s="6"/>
      <c r="E833" s="12"/>
      <c r="F833" s="6"/>
      <c r="G833" s="12"/>
    </row>
    <row r="834" spans="2:7" x14ac:dyDescent="0.25">
      <c r="B834" s="6"/>
      <c r="C834" s="12"/>
      <c r="D834" s="6"/>
      <c r="E834" s="12"/>
      <c r="F834" s="6"/>
      <c r="G834" s="12"/>
    </row>
    <row r="835" spans="2:7" x14ac:dyDescent="0.25">
      <c r="B835" s="6"/>
      <c r="C835" s="12"/>
      <c r="D835" s="6"/>
      <c r="E835" s="12"/>
      <c r="F835" s="6"/>
      <c r="G835" s="12"/>
    </row>
    <row r="836" spans="2:7" x14ac:dyDescent="0.25">
      <c r="B836" s="6"/>
      <c r="C836" s="12"/>
      <c r="D836" s="6"/>
      <c r="E836" s="12"/>
      <c r="F836" s="6"/>
      <c r="G836" s="12"/>
    </row>
    <row r="837" spans="2:7" x14ac:dyDescent="0.25">
      <c r="B837" s="6"/>
      <c r="C837" s="12"/>
      <c r="D837" s="6"/>
      <c r="E837" s="12"/>
      <c r="F837" s="6"/>
      <c r="G837" s="12"/>
    </row>
    <row r="838" spans="2:7" x14ac:dyDescent="0.25">
      <c r="B838" s="6"/>
      <c r="C838" s="12"/>
      <c r="D838" s="6"/>
      <c r="E838" s="12"/>
      <c r="F838" s="6"/>
      <c r="G838" s="12"/>
    </row>
    <row r="839" spans="2:7" x14ac:dyDescent="0.25">
      <c r="B839" s="6"/>
      <c r="C839" s="12"/>
      <c r="D839" s="6"/>
      <c r="E839" s="12"/>
      <c r="F839" s="6"/>
      <c r="G839" s="12"/>
    </row>
    <row r="840" spans="2:7" x14ac:dyDescent="0.25">
      <c r="B840" s="6"/>
      <c r="C840" s="12"/>
      <c r="D840" s="6"/>
      <c r="E840" s="12"/>
      <c r="F840" s="6"/>
      <c r="G840" s="12"/>
    </row>
    <row r="841" spans="2:7" x14ac:dyDescent="0.25">
      <c r="B841" s="6"/>
      <c r="C841" s="12"/>
      <c r="D841" s="6"/>
      <c r="E841" s="12"/>
      <c r="F841" s="6"/>
      <c r="G841" s="12"/>
    </row>
    <row r="842" spans="2:7" x14ac:dyDescent="0.25">
      <c r="B842" s="6"/>
      <c r="C842" s="12"/>
      <c r="D842" s="6"/>
      <c r="E842" s="12"/>
      <c r="F842" s="6"/>
      <c r="G842" s="12"/>
    </row>
    <row r="843" spans="2:7" x14ac:dyDescent="0.25">
      <c r="B843" s="6"/>
      <c r="C843" s="12"/>
      <c r="D843" s="6"/>
      <c r="E843" s="12"/>
      <c r="F843" s="6"/>
      <c r="G843" s="12"/>
    </row>
    <row r="844" spans="2:7" x14ac:dyDescent="0.25">
      <c r="B844" s="6"/>
      <c r="C844" s="12"/>
      <c r="D844" s="6"/>
      <c r="E844" s="12"/>
      <c r="F844" s="6"/>
      <c r="G844" s="12"/>
    </row>
    <row r="845" spans="2:7" x14ac:dyDescent="0.25">
      <c r="B845" s="6"/>
      <c r="C845" s="12"/>
      <c r="D845" s="6"/>
      <c r="E845" s="12"/>
      <c r="F845" s="6"/>
      <c r="G845" s="12"/>
    </row>
    <row r="846" spans="2:7" x14ac:dyDescent="0.25">
      <c r="B846" s="6"/>
      <c r="C846" s="12"/>
      <c r="D846" s="6"/>
      <c r="E846" s="12"/>
      <c r="F846" s="6"/>
      <c r="G846" s="12"/>
    </row>
    <row r="847" spans="2:7" x14ac:dyDescent="0.25">
      <c r="B847" s="6"/>
      <c r="C847" s="12"/>
      <c r="D847" s="6"/>
      <c r="E847" s="12"/>
      <c r="F847" s="6"/>
      <c r="G847" s="12"/>
    </row>
    <row r="848" spans="2:7" x14ac:dyDescent="0.25">
      <c r="B848" s="6"/>
      <c r="C848" s="12"/>
      <c r="D848" s="6"/>
      <c r="E848" s="12"/>
      <c r="F848" s="6"/>
      <c r="G848" s="12"/>
    </row>
    <row r="849" spans="2:7" x14ac:dyDescent="0.25">
      <c r="B849" s="6"/>
      <c r="C849" s="12"/>
      <c r="D849" s="6"/>
      <c r="E849" s="12"/>
      <c r="F849" s="6"/>
      <c r="G849" s="12"/>
    </row>
    <row r="850" spans="2:7" x14ac:dyDescent="0.25">
      <c r="B850" s="6"/>
      <c r="C850" s="12"/>
      <c r="D850" s="6"/>
      <c r="E850" s="12"/>
      <c r="F850" s="6"/>
      <c r="G850" s="12"/>
    </row>
    <row r="851" spans="2:7" x14ac:dyDescent="0.25">
      <c r="B851" s="6"/>
      <c r="C851" s="12"/>
      <c r="D851" s="6"/>
      <c r="E851" s="12"/>
      <c r="F851" s="6"/>
      <c r="G851" s="12"/>
    </row>
    <row r="852" spans="2:7" x14ac:dyDescent="0.25">
      <c r="B852" s="6"/>
      <c r="C852" s="12"/>
      <c r="D852" s="6"/>
      <c r="E852" s="12"/>
      <c r="F852" s="6"/>
      <c r="G852" s="12"/>
    </row>
    <row r="853" spans="2:7" x14ac:dyDescent="0.25">
      <c r="B853" s="6"/>
      <c r="C853" s="12"/>
      <c r="D853" s="6"/>
      <c r="E853" s="12"/>
      <c r="F853" s="6"/>
      <c r="G853" s="12"/>
    </row>
    <row r="854" spans="2:7" x14ac:dyDescent="0.25">
      <c r="B854" s="6"/>
      <c r="C854" s="12"/>
      <c r="D854" s="6"/>
      <c r="E854" s="12"/>
      <c r="F854" s="6"/>
      <c r="G854" s="12"/>
    </row>
    <row r="855" spans="2:7" x14ac:dyDescent="0.25">
      <c r="B855" s="6"/>
      <c r="C855" s="12"/>
      <c r="D855" s="6"/>
      <c r="E855" s="12"/>
      <c r="F855" s="6"/>
      <c r="G855" s="12"/>
    </row>
    <row r="856" spans="2:7" x14ac:dyDescent="0.25">
      <c r="B856" s="6"/>
      <c r="C856" s="12"/>
      <c r="D856" s="6"/>
      <c r="E856" s="12"/>
      <c r="F856" s="6"/>
      <c r="G856" s="12"/>
    </row>
    <row r="857" spans="2:7" x14ac:dyDescent="0.25">
      <c r="B857" s="6"/>
      <c r="C857" s="12"/>
      <c r="D857" s="6"/>
      <c r="E857" s="12"/>
      <c r="F857" s="6"/>
      <c r="G857" s="12"/>
    </row>
    <row r="858" spans="2:7" x14ac:dyDescent="0.25">
      <c r="B858" s="6"/>
      <c r="C858" s="12"/>
      <c r="D858" s="6"/>
      <c r="E858" s="12"/>
      <c r="F858" s="6"/>
      <c r="G858" s="12"/>
    </row>
    <row r="859" spans="2:7" x14ac:dyDescent="0.25">
      <c r="B859" s="6"/>
      <c r="C859" s="12"/>
      <c r="D859" s="6"/>
      <c r="E859" s="12"/>
      <c r="F859" s="6"/>
      <c r="G859" s="12"/>
    </row>
    <row r="860" spans="2:7" x14ac:dyDescent="0.25">
      <c r="B860" s="6"/>
      <c r="C860" s="12"/>
      <c r="D860" s="6"/>
      <c r="E860" s="12"/>
      <c r="F860" s="6"/>
      <c r="G860" s="12"/>
    </row>
    <row r="861" spans="2:7" x14ac:dyDescent="0.25">
      <c r="B861" s="6"/>
      <c r="C861" s="12"/>
      <c r="D861" s="6"/>
      <c r="E861" s="12"/>
      <c r="F861" s="6"/>
      <c r="G861" s="12"/>
    </row>
    <row r="862" spans="2:7" x14ac:dyDescent="0.25">
      <c r="B862" s="6"/>
      <c r="C862" s="12"/>
      <c r="D862" s="6"/>
      <c r="E862" s="12"/>
      <c r="F862" s="6"/>
      <c r="G862" s="12"/>
    </row>
    <row r="863" spans="2:7" x14ac:dyDescent="0.25">
      <c r="B863" s="6"/>
      <c r="C863" s="12"/>
      <c r="D863" s="6"/>
      <c r="E863" s="12"/>
      <c r="F863" s="6"/>
      <c r="G863" s="12"/>
    </row>
    <row r="864" spans="2:7" x14ac:dyDescent="0.25">
      <c r="B864" s="6"/>
      <c r="C864" s="12"/>
      <c r="D864" s="6"/>
      <c r="E864" s="12"/>
      <c r="F864" s="6"/>
      <c r="G864" s="12"/>
    </row>
    <row r="865" spans="2:7" x14ac:dyDescent="0.25">
      <c r="B865" s="6"/>
      <c r="C865" s="12"/>
      <c r="D865" s="6"/>
      <c r="E865" s="12"/>
      <c r="F865" s="6"/>
      <c r="G865" s="12"/>
    </row>
    <row r="866" spans="2:7" x14ac:dyDescent="0.25">
      <c r="B866" s="6"/>
      <c r="C866" s="12"/>
      <c r="D866" s="6"/>
      <c r="E866" s="12"/>
      <c r="F866" s="6"/>
      <c r="G866" s="12"/>
    </row>
    <row r="867" spans="2:7" x14ac:dyDescent="0.25">
      <c r="B867" s="6"/>
      <c r="C867" s="12"/>
      <c r="D867" s="6"/>
      <c r="E867" s="12"/>
      <c r="F867" s="6"/>
      <c r="G867" s="12"/>
    </row>
    <row r="868" spans="2:7" x14ac:dyDescent="0.25">
      <c r="B868" s="6"/>
      <c r="C868" s="12"/>
      <c r="D868" s="6"/>
      <c r="E868" s="12"/>
      <c r="F868" s="6"/>
      <c r="G868" s="12"/>
    </row>
    <row r="869" spans="2:7" x14ac:dyDescent="0.25">
      <c r="B869" s="6"/>
      <c r="C869" s="12"/>
      <c r="D869" s="6"/>
      <c r="E869" s="12"/>
      <c r="F869" s="6"/>
      <c r="G869" s="12"/>
    </row>
    <row r="870" spans="2:7" x14ac:dyDescent="0.25">
      <c r="B870" s="6"/>
      <c r="C870" s="12"/>
      <c r="D870" s="6"/>
      <c r="E870" s="12"/>
      <c r="F870" s="6"/>
      <c r="G870" s="12"/>
    </row>
    <row r="871" spans="2:7" x14ac:dyDescent="0.25">
      <c r="B871" s="6"/>
      <c r="C871" s="12"/>
      <c r="D871" s="6"/>
      <c r="E871" s="12"/>
      <c r="F871" s="6"/>
      <c r="G871" s="12"/>
    </row>
    <row r="872" spans="2:7" x14ac:dyDescent="0.25">
      <c r="B872" s="6"/>
      <c r="C872" s="12"/>
      <c r="D872" s="6"/>
      <c r="E872" s="12"/>
      <c r="F872" s="6"/>
      <c r="G872" s="12"/>
    </row>
    <row r="873" spans="2:7" x14ac:dyDescent="0.25">
      <c r="B873" s="6"/>
      <c r="C873" s="12"/>
      <c r="D873" s="6"/>
      <c r="E873" s="12"/>
      <c r="F873" s="6"/>
      <c r="G873" s="12"/>
    </row>
    <row r="874" spans="2:7" x14ac:dyDescent="0.25">
      <c r="B874" s="6"/>
      <c r="C874" s="12"/>
      <c r="D874" s="6"/>
      <c r="E874" s="12"/>
      <c r="F874" s="6"/>
      <c r="G874" s="12"/>
    </row>
    <row r="875" spans="2:7" x14ac:dyDescent="0.25">
      <c r="B875" s="6"/>
      <c r="C875" s="12"/>
      <c r="D875" s="6"/>
      <c r="E875" s="12"/>
      <c r="F875" s="6"/>
      <c r="G875" s="12"/>
    </row>
    <row r="876" spans="2:7" x14ac:dyDescent="0.25">
      <c r="B876" s="6"/>
      <c r="C876" s="12"/>
      <c r="D876" s="6"/>
      <c r="E876" s="12"/>
      <c r="F876" s="6"/>
      <c r="G876" s="12"/>
    </row>
    <row r="877" spans="2:7" x14ac:dyDescent="0.25">
      <c r="B877" s="6"/>
      <c r="C877" s="12"/>
      <c r="D877" s="6"/>
      <c r="E877" s="12"/>
      <c r="F877" s="6"/>
      <c r="G877" s="12"/>
    </row>
    <row r="878" spans="2:7" x14ac:dyDescent="0.25">
      <c r="B878" s="6"/>
      <c r="C878" s="12"/>
      <c r="D878" s="6"/>
      <c r="E878" s="12"/>
      <c r="F878" s="6"/>
      <c r="G878" s="12"/>
    </row>
    <row r="879" spans="2:7" x14ac:dyDescent="0.25">
      <c r="B879" s="6"/>
      <c r="C879" s="12"/>
      <c r="D879" s="6"/>
      <c r="E879" s="12"/>
      <c r="F879" s="6"/>
      <c r="G879" s="12"/>
    </row>
    <row r="880" spans="2:7" x14ac:dyDescent="0.25">
      <c r="B880" s="6"/>
      <c r="C880" s="12"/>
      <c r="D880" s="6"/>
      <c r="E880" s="12"/>
      <c r="F880" s="6"/>
      <c r="G880" s="12"/>
    </row>
    <row r="881" spans="2:7" x14ac:dyDescent="0.25">
      <c r="B881" s="6"/>
      <c r="C881" s="12"/>
      <c r="D881" s="6"/>
      <c r="E881" s="12"/>
      <c r="F881" s="6"/>
      <c r="G881" s="12"/>
    </row>
    <row r="882" spans="2:7" x14ac:dyDescent="0.25">
      <c r="B882" s="6"/>
      <c r="C882" s="12"/>
      <c r="D882" s="6"/>
      <c r="E882" s="12"/>
      <c r="F882" s="6"/>
      <c r="G882" s="12"/>
    </row>
    <row r="883" spans="2:7" x14ac:dyDescent="0.25">
      <c r="B883" s="6"/>
      <c r="C883" s="12"/>
      <c r="D883" s="6"/>
      <c r="E883" s="12"/>
      <c r="F883" s="6"/>
      <c r="G883" s="12"/>
    </row>
    <row r="884" spans="2:7" x14ac:dyDescent="0.25">
      <c r="B884" s="6"/>
      <c r="C884" s="12"/>
      <c r="D884" s="6"/>
      <c r="E884" s="12"/>
      <c r="F884" s="6"/>
      <c r="G884" s="12"/>
    </row>
    <row r="885" spans="2:7" x14ac:dyDescent="0.25">
      <c r="B885" s="6"/>
      <c r="C885" s="12"/>
      <c r="D885" s="6"/>
      <c r="E885" s="12"/>
      <c r="F885" s="6"/>
      <c r="G885" s="12"/>
    </row>
    <row r="886" spans="2:7" x14ac:dyDescent="0.25">
      <c r="B886" s="6"/>
      <c r="C886" s="12"/>
      <c r="D886" s="6"/>
      <c r="E886" s="12"/>
      <c r="F886" s="6"/>
      <c r="G886" s="12"/>
    </row>
    <row r="887" spans="2:7" x14ac:dyDescent="0.25">
      <c r="B887" s="6"/>
      <c r="C887" s="12"/>
      <c r="D887" s="6"/>
      <c r="E887" s="12"/>
      <c r="F887" s="6"/>
      <c r="G887" s="12"/>
    </row>
    <row r="888" spans="2:7" x14ac:dyDescent="0.25">
      <c r="B888" s="6"/>
      <c r="C888" s="12"/>
      <c r="D888" s="6"/>
      <c r="E888" s="12"/>
      <c r="F888" s="6"/>
      <c r="G888" s="12"/>
    </row>
    <row r="889" spans="2:7" x14ac:dyDescent="0.25">
      <c r="B889" s="6"/>
      <c r="C889" s="12"/>
      <c r="D889" s="6"/>
      <c r="E889" s="12"/>
      <c r="F889" s="6"/>
      <c r="G889" s="12"/>
    </row>
    <row r="890" spans="2:7" x14ac:dyDescent="0.25">
      <c r="B890" s="6"/>
      <c r="C890" s="12"/>
      <c r="D890" s="6"/>
      <c r="E890" s="12"/>
      <c r="F890" s="6"/>
      <c r="G890" s="12"/>
    </row>
    <row r="891" spans="2:7" x14ac:dyDescent="0.25">
      <c r="B891" s="6"/>
      <c r="C891" s="12"/>
      <c r="D891" s="6"/>
      <c r="E891" s="12"/>
      <c r="F891" s="6"/>
      <c r="G891" s="12"/>
    </row>
    <row r="892" spans="2:7" x14ac:dyDescent="0.25">
      <c r="B892" s="6"/>
      <c r="C892" s="12"/>
      <c r="D892" s="6"/>
      <c r="E892" s="12"/>
      <c r="F892" s="6"/>
      <c r="G892" s="12"/>
    </row>
    <row r="893" spans="2:7" x14ac:dyDescent="0.25">
      <c r="B893" s="6"/>
      <c r="C893" s="12"/>
      <c r="D893" s="6"/>
      <c r="E893" s="12"/>
      <c r="F893" s="6"/>
      <c r="G893" s="12"/>
    </row>
    <row r="894" spans="2:7" x14ac:dyDescent="0.25">
      <c r="B894" s="6"/>
      <c r="C894" s="12"/>
      <c r="D894" s="6"/>
      <c r="E894" s="12"/>
      <c r="F894" s="6"/>
      <c r="G894" s="12"/>
    </row>
    <row r="895" spans="2:7" x14ac:dyDescent="0.25">
      <c r="B895" s="6"/>
      <c r="C895" s="12"/>
      <c r="D895" s="6"/>
      <c r="E895" s="12"/>
      <c r="F895" s="6"/>
      <c r="G895" s="12"/>
    </row>
    <row r="896" spans="2:7" x14ac:dyDescent="0.25">
      <c r="B896" s="6"/>
      <c r="C896" s="12"/>
      <c r="D896" s="6"/>
      <c r="E896" s="12"/>
      <c r="F896" s="6"/>
      <c r="G896" s="12"/>
    </row>
    <row r="897" spans="2:7" x14ac:dyDescent="0.25">
      <c r="B897" s="6"/>
      <c r="C897" s="12"/>
      <c r="D897" s="6"/>
      <c r="E897" s="12"/>
      <c r="F897" s="6"/>
      <c r="G897" s="12"/>
    </row>
    <row r="898" spans="2:7" x14ac:dyDescent="0.25">
      <c r="B898" s="6"/>
      <c r="C898" s="12"/>
      <c r="D898" s="6"/>
      <c r="E898" s="12"/>
      <c r="F898" s="6"/>
      <c r="G898" s="12"/>
    </row>
    <row r="899" spans="2:7" x14ac:dyDescent="0.25">
      <c r="B899" s="6"/>
      <c r="C899" s="12"/>
      <c r="D899" s="6"/>
      <c r="E899" s="12"/>
      <c r="F899" s="6"/>
      <c r="G899" s="12"/>
    </row>
    <row r="900" spans="2:7" x14ac:dyDescent="0.25">
      <c r="B900" s="6"/>
      <c r="C900" s="12"/>
      <c r="D900" s="6"/>
      <c r="E900" s="12"/>
      <c r="F900" s="6"/>
      <c r="G900" s="12"/>
    </row>
    <row r="901" spans="2:7" x14ac:dyDescent="0.25">
      <c r="B901" s="6"/>
      <c r="C901" s="12"/>
      <c r="D901" s="6"/>
      <c r="E901" s="12"/>
      <c r="F901" s="6"/>
      <c r="G901" s="12"/>
    </row>
    <row r="902" spans="2:7" x14ac:dyDescent="0.25">
      <c r="B902" s="6"/>
      <c r="C902" s="12"/>
      <c r="D902" s="6"/>
      <c r="E902" s="12"/>
      <c r="F902" s="6"/>
      <c r="G902" s="12"/>
    </row>
    <row r="903" spans="2:7" x14ac:dyDescent="0.25">
      <c r="B903" s="6"/>
      <c r="C903" s="12"/>
      <c r="D903" s="6"/>
      <c r="E903" s="12"/>
      <c r="F903" s="6"/>
      <c r="G903" s="12"/>
    </row>
    <row r="904" spans="2:7" x14ac:dyDescent="0.25">
      <c r="B904" s="6"/>
      <c r="C904" s="12"/>
      <c r="D904" s="6"/>
      <c r="E904" s="12"/>
      <c r="F904" s="6"/>
      <c r="G904" s="12"/>
    </row>
    <row r="905" spans="2:7" x14ac:dyDescent="0.25">
      <c r="B905" s="6"/>
      <c r="C905" s="12"/>
      <c r="D905" s="6"/>
      <c r="E905" s="12"/>
      <c r="F905" s="6"/>
      <c r="G905" s="12"/>
    </row>
    <row r="906" spans="2:7" x14ac:dyDescent="0.25">
      <c r="B906" s="6"/>
      <c r="C906" s="12"/>
      <c r="D906" s="6"/>
      <c r="E906" s="12"/>
      <c r="F906" s="6"/>
      <c r="G906" s="12"/>
    </row>
    <row r="907" spans="2:7" x14ac:dyDescent="0.25">
      <c r="B907" s="6"/>
      <c r="C907" s="12"/>
      <c r="D907" s="6"/>
      <c r="E907" s="12"/>
      <c r="F907" s="6"/>
      <c r="G907" s="12"/>
    </row>
    <row r="908" spans="2:7" x14ac:dyDescent="0.25">
      <c r="B908" s="6"/>
      <c r="C908" s="12"/>
      <c r="D908" s="6"/>
      <c r="E908" s="12"/>
      <c r="F908" s="6"/>
      <c r="G908" s="12"/>
    </row>
    <row r="909" spans="2:7" x14ac:dyDescent="0.25">
      <c r="B909" s="6"/>
      <c r="C909" s="12"/>
      <c r="D909" s="6"/>
      <c r="E909" s="12"/>
      <c r="F909" s="6"/>
      <c r="G909" s="12"/>
    </row>
    <row r="910" spans="2:7" x14ac:dyDescent="0.25">
      <c r="B910" s="6"/>
      <c r="C910" s="12"/>
      <c r="D910" s="6"/>
      <c r="E910" s="12"/>
      <c r="F910" s="6"/>
      <c r="G910" s="12"/>
    </row>
    <row r="911" spans="2:7" x14ac:dyDescent="0.25">
      <c r="B911" s="6"/>
      <c r="C911" s="12"/>
      <c r="D911" s="6"/>
      <c r="E911" s="12"/>
      <c r="F911" s="6"/>
      <c r="G911" s="12"/>
    </row>
    <row r="912" spans="2:7" x14ac:dyDescent="0.25">
      <c r="B912" s="6"/>
      <c r="C912" s="12"/>
      <c r="D912" s="6"/>
      <c r="E912" s="12"/>
      <c r="F912" s="6"/>
      <c r="G912" s="12"/>
    </row>
    <row r="913" spans="2:7" x14ac:dyDescent="0.25">
      <c r="B913" s="6"/>
      <c r="C913" s="12"/>
      <c r="D913" s="6"/>
      <c r="E913" s="12"/>
      <c r="F913" s="6"/>
      <c r="G913" s="12"/>
    </row>
    <row r="914" spans="2:7" x14ac:dyDescent="0.25">
      <c r="B914" s="6"/>
      <c r="C914" s="12"/>
      <c r="D914" s="6"/>
      <c r="E914" s="12"/>
      <c r="F914" s="6"/>
      <c r="G914" s="12"/>
    </row>
    <row r="915" spans="2:7" x14ac:dyDescent="0.25">
      <c r="B915" s="6"/>
      <c r="C915" s="12"/>
      <c r="D915" s="6"/>
      <c r="E915" s="12"/>
      <c r="F915" s="6"/>
      <c r="G915" s="12"/>
    </row>
    <row r="916" spans="2:7" x14ac:dyDescent="0.25">
      <c r="B916" s="6"/>
      <c r="C916" s="12"/>
      <c r="D916" s="6"/>
      <c r="E916" s="12"/>
      <c r="F916" s="6"/>
      <c r="G916" s="12"/>
    </row>
    <row r="917" spans="2:7" x14ac:dyDescent="0.25">
      <c r="B917" s="6"/>
      <c r="C917" s="12"/>
      <c r="D917" s="6"/>
      <c r="E917" s="12"/>
      <c r="F917" s="6"/>
      <c r="G917" s="12"/>
    </row>
    <row r="918" spans="2:7" x14ac:dyDescent="0.25">
      <c r="B918" s="6"/>
      <c r="C918" s="12"/>
      <c r="D918" s="6"/>
      <c r="E918" s="12"/>
      <c r="F918" s="6"/>
      <c r="G918" s="12"/>
    </row>
    <row r="919" spans="2:7" x14ac:dyDescent="0.25">
      <c r="B919" s="6"/>
      <c r="C919" s="12"/>
      <c r="D919" s="6"/>
      <c r="E919" s="12"/>
      <c r="F919" s="6"/>
      <c r="G919" s="12"/>
    </row>
    <row r="920" spans="2:7" x14ac:dyDescent="0.25">
      <c r="B920" s="6"/>
      <c r="C920" s="12"/>
      <c r="D920" s="6"/>
      <c r="E920" s="12"/>
      <c r="F920" s="6"/>
      <c r="G920" s="12"/>
    </row>
    <row r="921" spans="2:7" x14ac:dyDescent="0.25">
      <c r="B921" s="6"/>
      <c r="C921" s="12"/>
      <c r="D921" s="6"/>
      <c r="E921" s="12"/>
      <c r="F921" s="6"/>
      <c r="G921" s="12"/>
    </row>
    <row r="922" spans="2:7" x14ac:dyDescent="0.25">
      <c r="B922" s="6"/>
      <c r="C922" s="12"/>
      <c r="D922" s="6"/>
      <c r="E922" s="12"/>
      <c r="F922" s="6"/>
      <c r="G922" s="12"/>
    </row>
    <row r="923" spans="2:7" x14ac:dyDescent="0.25">
      <c r="B923" s="6"/>
      <c r="C923" s="12"/>
      <c r="D923" s="6"/>
      <c r="E923" s="12"/>
      <c r="F923" s="6"/>
      <c r="G923" s="12"/>
    </row>
    <row r="924" spans="2:7" x14ac:dyDescent="0.25">
      <c r="B924" s="6"/>
      <c r="C924" s="12"/>
      <c r="D924" s="6"/>
      <c r="E924" s="12"/>
      <c r="F924" s="6"/>
      <c r="G924" s="12"/>
    </row>
    <row r="925" spans="2:7" x14ac:dyDescent="0.25">
      <c r="B925" s="6"/>
      <c r="C925" s="12"/>
      <c r="D925" s="6"/>
      <c r="E925" s="12"/>
      <c r="F925" s="6"/>
      <c r="G925" s="12"/>
    </row>
    <row r="926" spans="2:7" x14ac:dyDescent="0.25">
      <c r="B926" s="6"/>
      <c r="C926" s="12"/>
      <c r="D926" s="6"/>
      <c r="E926" s="12"/>
      <c r="F926" s="6"/>
      <c r="G926" s="12"/>
    </row>
    <row r="927" spans="2:7" x14ac:dyDescent="0.25">
      <c r="B927" s="6"/>
      <c r="C927" s="12"/>
      <c r="D927" s="6"/>
      <c r="E927" s="12"/>
      <c r="F927" s="6"/>
      <c r="G927" s="12"/>
    </row>
    <row r="928" spans="2:7" x14ac:dyDescent="0.25">
      <c r="B928" s="6"/>
      <c r="C928" s="12"/>
      <c r="D928" s="6"/>
      <c r="E928" s="12"/>
      <c r="F928" s="6"/>
      <c r="G928" s="12"/>
    </row>
    <row r="929" spans="2:7" x14ac:dyDescent="0.25">
      <c r="B929" s="6"/>
      <c r="C929" s="12"/>
      <c r="D929" s="6"/>
      <c r="E929" s="12"/>
      <c r="F929" s="6"/>
      <c r="G929" s="12"/>
    </row>
    <row r="930" spans="2:7" x14ac:dyDescent="0.25">
      <c r="B930" s="6"/>
      <c r="C930" s="12"/>
      <c r="D930" s="6"/>
      <c r="E930" s="12"/>
      <c r="F930" s="6"/>
      <c r="G930" s="12"/>
    </row>
    <row r="931" spans="2:7" x14ac:dyDescent="0.25">
      <c r="B931" s="6"/>
      <c r="C931" s="12"/>
      <c r="D931" s="6"/>
      <c r="E931" s="12"/>
      <c r="F931" s="6"/>
      <c r="G931" s="12"/>
    </row>
    <row r="932" spans="2:7" x14ac:dyDescent="0.25">
      <c r="B932" s="6"/>
      <c r="C932" s="12"/>
      <c r="D932" s="6"/>
      <c r="E932" s="12"/>
      <c r="F932" s="6"/>
      <c r="G932" s="12"/>
    </row>
    <row r="933" spans="2:7" x14ac:dyDescent="0.25">
      <c r="B933" s="6"/>
      <c r="C933" s="12"/>
      <c r="D933" s="6"/>
      <c r="E933" s="12"/>
      <c r="F933" s="6"/>
      <c r="G933" s="12"/>
    </row>
    <row r="934" spans="2:7" x14ac:dyDescent="0.25">
      <c r="B934" s="6"/>
      <c r="C934" s="12"/>
      <c r="D934" s="6"/>
      <c r="E934" s="12"/>
      <c r="F934" s="6"/>
      <c r="G934" s="12"/>
    </row>
    <row r="935" spans="2:7" x14ac:dyDescent="0.25">
      <c r="B935" s="6"/>
      <c r="C935" s="12"/>
      <c r="D935" s="6"/>
      <c r="E935" s="12"/>
      <c r="F935" s="6"/>
      <c r="G935" s="12"/>
    </row>
    <row r="936" spans="2:7" x14ac:dyDescent="0.25">
      <c r="B936" s="6"/>
      <c r="C936" s="12"/>
      <c r="D936" s="6"/>
      <c r="E936" s="12"/>
      <c r="F936" s="6"/>
      <c r="G936" s="12"/>
    </row>
    <row r="937" spans="2:7" x14ac:dyDescent="0.25">
      <c r="B937" s="6"/>
      <c r="C937" s="12"/>
      <c r="D937" s="6"/>
      <c r="E937" s="12"/>
      <c r="F937" s="6"/>
      <c r="G937" s="12"/>
    </row>
    <row r="938" spans="2:7" x14ac:dyDescent="0.25">
      <c r="B938" s="6"/>
      <c r="C938" s="12"/>
      <c r="D938" s="6"/>
      <c r="E938" s="12"/>
      <c r="F938" s="6"/>
      <c r="G938" s="12"/>
    </row>
    <row r="939" spans="2:7" x14ac:dyDescent="0.25">
      <c r="B939" s="6"/>
      <c r="C939" s="12"/>
      <c r="D939" s="6"/>
      <c r="E939" s="12"/>
      <c r="F939" s="6"/>
      <c r="G939" s="12"/>
    </row>
    <row r="940" spans="2:7" x14ac:dyDescent="0.25">
      <c r="B940" s="6"/>
      <c r="C940" s="12"/>
      <c r="D940" s="6"/>
      <c r="E940" s="12"/>
      <c r="F940" s="6"/>
      <c r="G940" s="12"/>
    </row>
    <row r="941" spans="2:7" x14ac:dyDescent="0.25">
      <c r="B941" s="6"/>
      <c r="C941" s="12"/>
      <c r="D941" s="6"/>
      <c r="E941" s="12"/>
      <c r="F941" s="6"/>
      <c r="G941" s="12"/>
    </row>
    <row r="942" spans="2:7" x14ac:dyDescent="0.25">
      <c r="B942" s="6"/>
      <c r="C942" s="12"/>
      <c r="D942" s="6"/>
      <c r="E942" s="12"/>
      <c r="F942" s="6"/>
      <c r="G942" s="12"/>
    </row>
    <row r="943" spans="2:7" x14ac:dyDescent="0.25">
      <c r="B943" s="6"/>
      <c r="C943" s="12"/>
      <c r="D943" s="6"/>
      <c r="E943" s="12"/>
      <c r="F943" s="6"/>
      <c r="G943" s="12"/>
    </row>
    <row r="944" spans="2:7" x14ac:dyDescent="0.25">
      <c r="B944" s="6"/>
      <c r="C944" s="12"/>
      <c r="D944" s="6"/>
      <c r="E944" s="12"/>
      <c r="F944" s="6"/>
      <c r="G944" s="12"/>
    </row>
    <row r="945" spans="2:7" x14ac:dyDescent="0.25">
      <c r="B945" s="6"/>
      <c r="C945" s="12"/>
      <c r="D945" s="6"/>
      <c r="E945" s="12"/>
      <c r="F945" s="6"/>
      <c r="G945" s="12"/>
    </row>
    <row r="946" spans="2:7" x14ac:dyDescent="0.25">
      <c r="B946" s="6"/>
      <c r="C946" s="12"/>
      <c r="D946" s="6"/>
      <c r="E946" s="12"/>
      <c r="F946" s="6"/>
      <c r="G946" s="12"/>
    </row>
    <row r="947" spans="2:7" x14ac:dyDescent="0.25">
      <c r="B947" s="6"/>
      <c r="C947" s="12"/>
      <c r="D947" s="6"/>
      <c r="E947" s="12"/>
      <c r="F947" s="6"/>
      <c r="G947" s="12"/>
    </row>
    <row r="948" spans="2:7" x14ac:dyDescent="0.25">
      <c r="B948" s="6"/>
      <c r="C948" s="12"/>
      <c r="D948" s="6"/>
      <c r="E948" s="12"/>
      <c r="F948" s="6"/>
      <c r="G948" s="12"/>
    </row>
    <row r="949" spans="2:7" x14ac:dyDescent="0.25">
      <c r="B949" s="6"/>
      <c r="C949" s="12"/>
      <c r="D949" s="6"/>
      <c r="E949" s="12"/>
      <c r="F949" s="6"/>
      <c r="G949" s="12"/>
    </row>
    <row r="950" spans="2:7" x14ac:dyDescent="0.25">
      <c r="B950" s="6"/>
      <c r="C950" s="12"/>
      <c r="D950" s="6"/>
      <c r="E950" s="12"/>
      <c r="F950" s="6"/>
      <c r="G950" s="12"/>
    </row>
    <row r="951" spans="2:7" x14ac:dyDescent="0.25">
      <c r="B951" s="6"/>
      <c r="C951" s="12"/>
      <c r="D951" s="6"/>
      <c r="E951" s="12"/>
      <c r="F951" s="6"/>
      <c r="G951" s="12"/>
    </row>
    <row r="952" spans="2:7" x14ac:dyDescent="0.25">
      <c r="B952" s="6"/>
      <c r="C952" s="12"/>
      <c r="D952" s="6"/>
      <c r="E952" s="12"/>
      <c r="F952" s="6"/>
      <c r="G952" s="12"/>
    </row>
    <row r="953" spans="2:7" x14ac:dyDescent="0.25">
      <c r="B953" s="6"/>
      <c r="C953" s="12"/>
      <c r="D953" s="6"/>
      <c r="E953" s="12"/>
      <c r="F953" s="6"/>
      <c r="G953" s="12"/>
    </row>
    <row r="954" spans="2:7" x14ac:dyDescent="0.25">
      <c r="B954" s="6"/>
      <c r="C954" s="12"/>
      <c r="D954" s="6"/>
      <c r="E954" s="12"/>
      <c r="F954" s="6"/>
      <c r="G954" s="12"/>
    </row>
    <row r="955" spans="2:7" x14ac:dyDescent="0.25">
      <c r="B955" s="6"/>
      <c r="C955" s="12"/>
      <c r="D955" s="6"/>
      <c r="E955" s="12"/>
      <c r="F955" s="6"/>
      <c r="G955" s="12"/>
    </row>
    <row r="956" spans="2:7" x14ac:dyDescent="0.25">
      <c r="B956" s="6"/>
      <c r="C956" s="12"/>
      <c r="D956" s="6"/>
      <c r="E956" s="12"/>
      <c r="F956" s="6"/>
      <c r="G956" s="12"/>
    </row>
    <row r="957" spans="2:7" x14ac:dyDescent="0.25">
      <c r="B957" s="6"/>
      <c r="C957" s="12"/>
      <c r="D957" s="6"/>
      <c r="E957" s="12"/>
      <c r="F957" s="6"/>
      <c r="G957" s="12"/>
    </row>
    <row r="958" spans="2:7" x14ac:dyDescent="0.25">
      <c r="B958" s="6"/>
      <c r="C958" s="12"/>
      <c r="D958" s="6"/>
      <c r="E958" s="12"/>
      <c r="F958" s="6"/>
      <c r="G958" s="12"/>
    </row>
    <row r="959" spans="2:7" x14ac:dyDescent="0.25">
      <c r="B959" s="6"/>
      <c r="C959" s="12"/>
      <c r="D959" s="6"/>
      <c r="E959" s="12"/>
      <c r="F959" s="6"/>
      <c r="G959" s="12"/>
    </row>
    <row r="960" spans="2:7" x14ac:dyDescent="0.25">
      <c r="B960" s="6"/>
      <c r="C960" s="12"/>
      <c r="D960" s="6"/>
      <c r="E960" s="12"/>
      <c r="F960" s="6"/>
      <c r="G960" s="12"/>
    </row>
    <row r="961" spans="2:7" x14ac:dyDescent="0.25">
      <c r="B961" s="6"/>
      <c r="C961" s="12"/>
      <c r="D961" s="6"/>
      <c r="E961" s="12"/>
      <c r="F961" s="6"/>
      <c r="G961" s="12"/>
    </row>
    <row r="962" spans="2:7" x14ac:dyDescent="0.25">
      <c r="B962" s="6"/>
      <c r="C962" s="12"/>
      <c r="D962" s="6"/>
      <c r="E962" s="12"/>
      <c r="F962" s="6"/>
      <c r="G962" s="12"/>
    </row>
    <row r="963" spans="2:7" x14ac:dyDescent="0.25">
      <c r="B963" s="6"/>
      <c r="C963" s="12"/>
      <c r="D963" s="6"/>
      <c r="E963" s="12"/>
      <c r="F963" s="6"/>
      <c r="G963" s="12"/>
    </row>
    <row r="964" spans="2:7" x14ac:dyDescent="0.25">
      <c r="B964" s="6"/>
      <c r="C964" s="12"/>
      <c r="D964" s="6"/>
      <c r="E964" s="12"/>
      <c r="F964" s="6"/>
      <c r="G964" s="12"/>
    </row>
    <row r="965" spans="2:7" x14ac:dyDescent="0.25">
      <c r="B965" s="6"/>
      <c r="C965" s="12"/>
      <c r="D965" s="6"/>
      <c r="E965" s="12"/>
      <c r="F965" s="6"/>
      <c r="G965" s="12"/>
    </row>
    <row r="966" spans="2:7" x14ac:dyDescent="0.25">
      <c r="B966" s="6"/>
      <c r="C966" s="12"/>
      <c r="D966" s="6"/>
      <c r="E966" s="12"/>
      <c r="F966" s="6"/>
      <c r="G966" s="12"/>
    </row>
    <row r="967" spans="2:7" x14ac:dyDescent="0.25">
      <c r="B967" s="6"/>
      <c r="C967" s="12"/>
      <c r="D967" s="6"/>
      <c r="E967" s="12"/>
      <c r="F967" s="6"/>
      <c r="G967" s="12"/>
    </row>
    <row r="968" spans="2:7" x14ac:dyDescent="0.25">
      <c r="B968" s="6"/>
      <c r="C968" s="12"/>
      <c r="D968" s="6"/>
      <c r="E968" s="12"/>
      <c r="F968" s="6"/>
      <c r="G968" s="12"/>
    </row>
    <row r="969" spans="2:7" x14ac:dyDescent="0.25">
      <c r="B969" s="6"/>
      <c r="C969" s="12"/>
      <c r="D969" s="6"/>
      <c r="E969" s="12"/>
      <c r="F969" s="6"/>
      <c r="G969" s="12"/>
    </row>
    <row r="970" spans="2:7" x14ac:dyDescent="0.25">
      <c r="B970" s="6"/>
      <c r="C970" s="12"/>
      <c r="D970" s="6"/>
      <c r="E970" s="12"/>
      <c r="F970" s="6"/>
      <c r="G970" s="12"/>
    </row>
    <row r="971" spans="2:7" x14ac:dyDescent="0.25">
      <c r="B971" s="6"/>
      <c r="C971" s="12"/>
      <c r="D971" s="6"/>
      <c r="E971" s="12"/>
      <c r="F971" s="6"/>
      <c r="G971" s="12"/>
    </row>
    <row r="972" spans="2:7" x14ac:dyDescent="0.25">
      <c r="B972" s="6"/>
      <c r="C972" s="12"/>
      <c r="D972" s="6"/>
      <c r="E972" s="12"/>
      <c r="F972" s="6"/>
      <c r="G972" s="12"/>
    </row>
    <row r="973" spans="2:7" x14ac:dyDescent="0.25">
      <c r="B973" s="6"/>
      <c r="C973" s="12"/>
      <c r="D973" s="6"/>
      <c r="E973" s="12"/>
      <c r="F973" s="6"/>
      <c r="G973" s="12"/>
    </row>
    <row r="974" spans="2:7" x14ac:dyDescent="0.25">
      <c r="B974" s="6"/>
      <c r="C974" s="12"/>
      <c r="D974" s="6"/>
      <c r="E974" s="12"/>
      <c r="F974" s="6"/>
      <c r="G974" s="12"/>
    </row>
    <row r="975" spans="2:7" x14ac:dyDescent="0.25">
      <c r="B975" s="6"/>
      <c r="C975" s="12"/>
      <c r="D975" s="6"/>
      <c r="E975" s="12"/>
      <c r="F975" s="6"/>
      <c r="G975" s="12"/>
    </row>
    <row r="976" spans="2:7" x14ac:dyDescent="0.25">
      <c r="B976" s="6"/>
      <c r="C976" s="12"/>
      <c r="D976" s="6"/>
      <c r="E976" s="12"/>
      <c r="F976" s="6"/>
      <c r="G976" s="12"/>
    </row>
    <row r="977" spans="2:7" x14ac:dyDescent="0.25">
      <c r="B977" s="6"/>
      <c r="C977" s="12"/>
      <c r="D977" s="6"/>
      <c r="E977" s="12"/>
      <c r="F977" s="6"/>
      <c r="G977" s="12"/>
    </row>
    <row r="978" spans="2:7" x14ac:dyDescent="0.25">
      <c r="B978" s="6"/>
      <c r="C978" s="12"/>
      <c r="D978" s="6"/>
      <c r="E978" s="12"/>
      <c r="F978" s="6"/>
      <c r="G978" s="12"/>
    </row>
    <row r="979" spans="2:7" x14ac:dyDescent="0.25">
      <c r="B979" s="6"/>
      <c r="C979" s="12"/>
      <c r="D979" s="6"/>
      <c r="E979" s="12"/>
      <c r="F979" s="6"/>
      <c r="G979" s="12"/>
    </row>
    <row r="980" spans="2:7" x14ac:dyDescent="0.25">
      <c r="B980" s="6"/>
      <c r="C980" s="12"/>
      <c r="D980" s="6"/>
      <c r="E980" s="12"/>
      <c r="F980" s="6"/>
      <c r="G980" s="12"/>
    </row>
    <row r="981" spans="2:7" x14ac:dyDescent="0.25">
      <c r="B981" s="6"/>
      <c r="C981" s="12"/>
      <c r="D981" s="6"/>
      <c r="E981" s="12"/>
      <c r="F981" s="6"/>
      <c r="G981" s="12"/>
    </row>
    <row r="982" spans="2:7" x14ac:dyDescent="0.25">
      <c r="B982" s="6"/>
      <c r="C982" s="12"/>
      <c r="D982" s="6"/>
      <c r="E982" s="12"/>
      <c r="F982" s="6"/>
      <c r="G982" s="12"/>
    </row>
    <row r="983" spans="2:7" x14ac:dyDescent="0.25">
      <c r="B983" s="6"/>
      <c r="C983" s="12"/>
      <c r="D983" s="6"/>
      <c r="E983" s="12"/>
      <c r="F983" s="6"/>
      <c r="G983" s="12"/>
    </row>
    <row r="984" spans="2:7" x14ac:dyDescent="0.25">
      <c r="B984" s="6"/>
      <c r="C984" s="12"/>
      <c r="D984" s="6"/>
      <c r="E984" s="12"/>
      <c r="F984" s="6"/>
      <c r="G984" s="12"/>
    </row>
    <row r="985" spans="2:7" x14ac:dyDescent="0.25">
      <c r="B985" s="6"/>
      <c r="C985" s="12"/>
      <c r="D985" s="6"/>
      <c r="E985" s="12"/>
      <c r="F985" s="6"/>
      <c r="G985" s="12"/>
    </row>
    <row r="986" spans="2:7" x14ac:dyDescent="0.25">
      <c r="B986" s="6"/>
      <c r="C986" s="12"/>
      <c r="D986" s="6"/>
      <c r="E986" s="12"/>
      <c r="F986" s="6"/>
      <c r="G986" s="12"/>
    </row>
    <row r="987" spans="2:7" x14ac:dyDescent="0.25">
      <c r="B987" s="6"/>
      <c r="C987" s="12"/>
      <c r="D987" s="6"/>
      <c r="E987" s="12"/>
      <c r="F987" s="6"/>
      <c r="G987" s="12"/>
    </row>
    <row r="988" spans="2:7" x14ac:dyDescent="0.25">
      <c r="B988" s="6"/>
      <c r="C988" s="12"/>
      <c r="D988" s="6"/>
      <c r="E988" s="12"/>
      <c r="F988" s="6"/>
      <c r="G988" s="12"/>
    </row>
    <row r="989" spans="2:7" x14ac:dyDescent="0.25">
      <c r="B989" s="6"/>
      <c r="C989" s="12"/>
      <c r="D989" s="6"/>
      <c r="E989" s="12"/>
      <c r="F989" s="6"/>
      <c r="G989" s="12"/>
    </row>
    <row r="990" spans="2:7" x14ac:dyDescent="0.25">
      <c r="B990" s="6"/>
      <c r="C990" s="12"/>
      <c r="D990" s="6"/>
      <c r="E990" s="12"/>
      <c r="F990" s="6"/>
      <c r="G990" s="12"/>
    </row>
    <row r="991" spans="2:7" x14ac:dyDescent="0.25">
      <c r="B991" s="6"/>
      <c r="C991" s="12"/>
      <c r="D991" s="6"/>
      <c r="E991" s="12"/>
      <c r="F991" s="6"/>
      <c r="G991" s="12"/>
    </row>
    <row r="992" spans="2:7" x14ac:dyDescent="0.25">
      <c r="B992" s="6"/>
      <c r="C992" s="12"/>
      <c r="D992" s="6"/>
      <c r="E992" s="12"/>
      <c r="F992" s="6"/>
      <c r="G992" s="12"/>
    </row>
    <row r="993" spans="2:7" x14ac:dyDescent="0.25">
      <c r="B993" s="6"/>
      <c r="C993" s="12"/>
      <c r="D993" s="6"/>
      <c r="E993" s="12"/>
      <c r="F993" s="6"/>
      <c r="G993" s="12"/>
    </row>
    <row r="994" spans="2:7" x14ac:dyDescent="0.25">
      <c r="B994" s="6"/>
      <c r="C994" s="12"/>
      <c r="D994" s="6"/>
      <c r="E994" s="12"/>
      <c r="F994" s="6"/>
      <c r="G994" s="12"/>
    </row>
    <row r="995" spans="2:7" x14ac:dyDescent="0.25">
      <c r="B995" s="6"/>
      <c r="C995" s="12"/>
      <c r="D995" s="6"/>
      <c r="E995" s="12"/>
      <c r="F995" s="6"/>
      <c r="G995" s="12"/>
    </row>
    <row r="996" spans="2:7" x14ac:dyDescent="0.25">
      <c r="B996" s="6"/>
      <c r="C996" s="12"/>
      <c r="D996" s="6"/>
      <c r="E996" s="12"/>
      <c r="F996" s="6"/>
      <c r="G996" s="12"/>
    </row>
    <row r="997" spans="2:7" x14ac:dyDescent="0.25">
      <c r="B997" s="6"/>
      <c r="C997" s="12"/>
      <c r="D997" s="6"/>
      <c r="E997" s="12"/>
      <c r="F997" s="6"/>
      <c r="G997" s="12"/>
    </row>
    <row r="998" spans="2:7" x14ac:dyDescent="0.25">
      <c r="B998" s="6"/>
      <c r="C998" s="12"/>
      <c r="D998" s="6"/>
      <c r="E998" s="12"/>
      <c r="F998" s="6"/>
      <c r="G998" s="12"/>
    </row>
    <row r="999" spans="2:7" x14ac:dyDescent="0.25">
      <c r="B999" s="6"/>
      <c r="C999" s="12"/>
      <c r="D999" s="6"/>
      <c r="E999" s="12"/>
      <c r="F999" s="6"/>
      <c r="G999" s="12"/>
    </row>
    <row r="1000" spans="2:7" x14ac:dyDescent="0.25">
      <c r="B1000" s="6"/>
      <c r="C1000" s="12"/>
      <c r="D1000" s="6"/>
      <c r="E1000" s="12"/>
      <c r="F1000" s="6"/>
      <c r="G1000" s="12"/>
    </row>
    <row r="1001" spans="2:7" x14ac:dyDescent="0.25">
      <c r="B1001" s="6"/>
      <c r="C1001" s="12"/>
      <c r="D1001" s="6"/>
      <c r="E1001" s="12"/>
      <c r="F1001" s="6"/>
      <c r="G1001" s="12"/>
    </row>
    <row r="1002" spans="2:7" x14ac:dyDescent="0.25">
      <c r="B1002" s="6"/>
      <c r="C1002" s="12"/>
      <c r="D1002" s="6"/>
      <c r="E1002" s="12"/>
      <c r="F1002" s="6"/>
      <c r="G1002" s="12"/>
    </row>
    <row r="1003" spans="2:7" x14ac:dyDescent="0.25">
      <c r="B1003" s="6"/>
      <c r="C1003" s="12"/>
      <c r="D1003" s="6"/>
      <c r="E1003" s="12"/>
      <c r="F1003" s="6"/>
      <c r="G1003" s="12"/>
    </row>
    <row r="1004" spans="2:7" x14ac:dyDescent="0.25">
      <c r="B1004" s="6"/>
      <c r="C1004" s="12"/>
      <c r="D1004" s="6"/>
      <c r="E1004" s="12"/>
      <c r="F1004" s="6"/>
      <c r="G1004" s="12"/>
    </row>
    <row r="1005" spans="2:7" x14ac:dyDescent="0.25">
      <c r="B1005" s="6"/>
      <c r="C1005" s="12"/>
      <c r="D1005" s="6"/>
      <c r="E1005" s="12"/>
      <c r="F1005" s="6"/>
      <c r="G1005" s="12"/>
    </row>
    <row r="1006" spans="2:7" x14ac:dyDescent="0.25">
      <c r="B1006" s="6"/>
      <c r="C1006" s="12"/>
      <c r="D1006" s="6"/>
      <c r="E1006" s="12"/>
      <c r="F1006" s="6"/>
      <c r="G1006" s="12"/>
    </row>
    <row r="1007" spans="2:7" x14ac:dyDescent="0.25">
      <c r="B1007" s="6"/>
      <c r="C1007" s="12"/>
      <c r="D1007" s="6"/>
      <c r="E1007" s="12"/>
      <c r="F1007" s="6"/>
      <c r="G1007" s="12"/>
    </row>
    <row r="1008" spans="2:7" x14ac:dyDescent="0.25">
      <c r="B1008" s="6"/>
      <c r="C1008" s="12"/>
      <c r="D1008" s="6"/>
      <c r="E1008" s="12"/>
      <c r="F1008" s="6"/>
      <c r="G1008" s="12"/>
    </row>
    <row r="1009" spans="2:7" x14ac:dyDescent="0.25">
      <c r="B1009" s="6"/>
      <c r="C1009" s="12"/>
      <c r="D1009" s="6"/>
      <c r="E1009" s="12"/>
      <c r="F1009" s="6"/>
      <c r="G1009" s="12"/>
    </row>
    <row r="1010" spans="2:7" x14ac:dyDescent="0.25">
      <c r="B1010" s="6"/>
      <c r="C1010" s="12"/>
      <c r="D1010" s="6"/>
      <c r="E1010" s="12"/>
      <c r="F1010" s="6"/>
      <c r="G1010" s="12"/>
    </row>
    <row r="1011" spans="2:7" x14ac:dyDescent="0.25">
      <c r="B1011" s="6"/>
      <c r="C1011" s="12"/>
      <c r="D1011" s="6"/>
      <c r="E1011" s="12"/>
      <c r="F1011" s="6"/>
      <c r="G1011" s="12"/>
    </row>
    <row r="1012" spans="2:7" x14ac:dyDescent="0.25">
      <c r="B1012" s="6"/>
      <c r="C1012" s="12"/>
      <c r="D1012" s="6"/>
      <c r="E1012" s="12"/>
      <c r="F1012" s="6"/>
      <c r="G1012" s="12"/>
    </row>
    <row r="1013" spans="2:7" x14ac:dyDescent="0.25">
      <c r="B1013" s="6"/>
      <c r="C1013" s="12"/>
      <c r="D1013" s="6"/>
      <c r="E1013" s="12"/>
      <c r="F1013" s="6"/>
      <c r="G1013" s="12"/>
    </row>
    <row r="1014" spans="2:7" x14ac:dyDescent="0.25">
      <c r="B1014" s="6"/>
      <c r="C1014" s="12"/>
      <c r="D1014" s="6"/>
      <c r="E1014" s="12"/>
      <c r="F1014" s="6"/>
      <c r="G1014" s="12"/>
    </row>
    <row r="1015" spans="2:7" x14ac:dyDescent="0.25">
      <c r="B1015" s="6"/>
      <c r="C1015" s="12"/>
      <c r="D1015" s="6"/>
      <c r="E1015" s="12"/>
      <c r="F1015" s="6"/>
      <c r="G1015" s="12"/>
    </row>
    <row r="1016" spans="2:7" x14ac:dyDescent="0.25">
      <c r="B1016" s="6"/>
      <c r="C1016" s="12"/>
      <c r="D1016" s="6"/>
      <c r="E1016" s="12"/>
      <c r="F1016" s="6"/>
      <c r="G1016" s="12"/>
    </row>
    <row r="1017" spans="2:7" x14ac:dyDescent="0.25">
      <c r="B1017" s="6"/>
      <c r="C1017" s="12"/>
      <c r="D1017" s="6"/>
      <c r="E1017" s="12"/>
      <c r="F1017" s="6"/>
      <c r="G1017" s="12"/>
    </row>
    <row r="1018" spans="2:7" x14ac:dyDescent="0.25">
      <c r="B1018" s="6"/>
      <c r="C1018" s="12"/>
      <c r="D1018" s="6"/>
      <c r="E1018" s="12"/>
      <c r="F1018" s="6"/>
      <c r="G1018" s="12"/>
    </row>
    <row r="1019" spans="2:7" x14ac:dyDescent="0.25">
      <c r="B1019" s="6"/>
      <c r="C1019" s="12"/>
      <c r="D1019" s="6"/>
      <c r="E1019" s="12"/>
      <c r="F1019" s="6"/>
      <c r="G1019" s="12"/>
    </row>
    <row r="1020" spans="2:7" x14ac:dyDescent="0.25">
      <c r="B1020" s="6"/>
      <c r="C1020" s="12"/>
      <c r="D1020" s="6"/>
      <c r="E1020" s="12"/>
      <c r="F1020" s="6"/>
      <c r="G1020" s="12"/>
    </row>
    <row r="1021" spans="2:7" x14ac:dyDescent="0.25">
      <c r="B1021" s="6"/>
      <c r="C1021" s="12"/>
      <c r="D1021" s="6"/>
      <c r="E1021" s="12"/>
      <c r="F1021" s="6"/>
      <c r="G1021" s="12"/>
    </row>
    <row r="1022" spans="2:7" x14ac:dyDescent="0.25">
      <c r="B1022" s="6"/>
      <c r="C1022" s="12"/>
      <c r="D1022" s="6"/>
      <c r="E1022" s="12"/>
      <c r="F1022" s="6"/>
      <c r="G1022" s="12"/>
    </row>
    <row r="1023" spans="2:7" x14ac:dyDescent="0.25">
      <c r="B1023" s="6"/>
      <c r="C1023" s="12"/>
      <c r="D1023" s="6"/>
      <c r="E1023" s="12"/>
      <c r="F1023" s="6"/>
      <c r="G1023" s="12"/>
    </row>
    <row r="1024" spans="2:7" x14ac:dyDescent="0.25">
      <c r="B1024" s="6"/>
      <c r="C1024" s="12"/>
      <c r="D1024" s="6"/>
      <c r="E1024" s="12"/>
      <c r="F1024" s="6"/>
      <c r="G1024" s="12"/>
    </row>
    <row r="1025" spans="2:7" x14ac:dyDescent="0.25">
      <c r="B1025" s="6"/>
      <c r="C1025" s="12"/>
      <c r="D1025" s="6"/>
      <c r="E1025" s="12"/>
      <c r="F1025" s="6"/>
      <c r="G1025" s="12"/>
    </row>
    <row r="1026" spans="2:7" x14ac:dyDescent="0.25">
      <c r="B1026" s="6"/>
      <c r="C1026" s="12"/>
      <c r="D1026" s="6"/>
      <c r="E1026" s="12"/>
      <c r="F1026" s="6"/>
      <c r="G1026" s="12"/>
    </row>
    <row r="1027" spans="2:7" x14ac:dyDescent="0.25">
      <c r="B1027" s="6"/>
      <c r="C1027" s="12"/>
      <c r="D1027" s="6"/>
      <c r="E1027" s="12"/>
      <c r="F1027" s="6"/>
      <c r="G1027" s="12"/>
    </row>
    <row r="1028" spans="2:7" x14ac:dyDescent="0.25">
      <c r="B1028" s="6"/>
      <c r="C1028" s="12"/>
      <c r="D1028" s="6"/>
      <c r="E1028" s="12"/>
      <c r="F1028" s="6"/>
      <c r="G1028" s="12"/>
    </row>
    <row r="1029" spans="2:7" x14ac:dyDescent="0.25">
      <c r="B1029" s="6"/>
      <c r="C1029" s="12"/>
      <c r="D1029" s="6"/>
      <c r="E1029" s="12"/>
      <c r="F1029" s="6"/>
      <c r="G1029" s="12"/>
    </row>
    <row r="1030" spans="2:7" x14ac:dyDescent="0.25">
      <c r="B1030" s="6"/>
      <c r="C1030" s="12"/>
      <c r="D1030" s="6"/>
      <c r="E1030" s="12"/>
      <c r="F1030" s="6"/>
      <c r="G1030" s="12"/>
    </row>
    <row r="1031" spans="2:7" x14ac:dyDescent="0.25">
      <c r="B1031" s="6"/>
      <c r="C1031" s="12"/>
      <c r="D1031" s="6"/>
      <c r="E1031" s="12"/>
      <c r="F1031" s="6"/>
      <c r="G1031" s="12"/>
    </row>
    <row r="1032" spans="2:7" x14ac:dyDescent="0.25">
      <c r="B1032" s="6"/>
      <c r="C1032" s="12"/>
      <c r="D1032" s="6"/>
      <c r="E1032" s="12"/>
      <c r="F1032" s="6"/>
      <c r="G1032" s="12"/>
    </row>
    <row r="1033" spans="2:7" x14ac:dyDescent="0.25">
      <c r="B1033" s="6"/>
      <c r="C1033" s="12"/>
      <c r="D1033" s="6"/>
      <c r="E1033" s="12"/>
      <c r="F1033" s="6"/>
      <c r="G1033" s="12"/>
    </row>
    <row r="1034" spans="2:7" x14ac:dyDescent="0.25">
      <c r="B1034" s="6"/>
      <c r="C1034" s="12"/>
      <c r="D1034" s="6"/>
      <c r="E1034" s="12"/>
      <c r="F1034" s="6"/>
      <c r="G1034" s="12"/>
    </row>
    <row r="1035" spans="2:7" x14ac:dyDescent="0.25">
      <c r="B1035" s="6"/>
      <c r="C1035" s="12"/>
      <c r="D1035" s="6"/>
      <c r="E1035" s="12"/>
      <c r="F1035" s="6"/>
      <c r="G1035" s="12"/>
    </row>
    <row r="1036" spans="2:7" x14ac:dyDescent="0.25">
      <c r="B1036" s="6"/>
      <c r="C1036" s="12"/>
      <c r="D1036" s="6"/>
      <c r="E1036" s="12"/>
      <c r="F1036" s="6"/>
      <c r="G1036" s="12"/>
    </row>
    <row r="1037" spans="2:7" x14ac:dyDescent="0.25">
      <c r="B1037" s="6"/>
      <c r="C1037" s="12"/>
      <c r="D1037" s="6"/>
      <c r="E1037" s="12"/>
      <c r="F1037" s="6"/>
      <c r="G1037" s="12"/>
    </row>
    <row r="1038" spans="2:7" x14ac:dyDescent="0.25">
      <c r="B1038" s="6"/>
      <c r="C1038" s="12"/>
      <c r="D1038" s="6"/>
      <c r="E1038" s="12"/>
      <c r="F1038" s="6"/>
      <c r="G1038" s="12"/>
    </row>
    <row r="1039" spans="2:7" x14ac:dyDescent="0.25">
      <c r="B1039" s="6"/>
      <c r="C1039" s="12"/>
      <c r="D1039" s="6"/>
      <c r="E1039" s="12"/>
      <c r="F1039" s="6"/>
      <c r="G1039" s="12"/>
    </row>
    <row r="1040" spans="2:7" x14ac:dyDescent="0.25">
      <c r="B1040" s="6"/>
      <c r="C1040" s="12"/>
      <c r="D1040" s="6"/>
      <c r="E1040" s="12"/>
      <c r="F1040" s="6"/>
      <c r="G1040" s="12"/>
    </row>
    <row r="1041" spans="2:7" x14ac:dyDescent="0.25">
      <c r="B1041" s="6"/>
      <c r="C1041" s="12"/>
      <c r="D1041" s="6"/>
      <c r="E1041" s="12"/>
      <c r="F1041" s="6"/>
      <c r="G1041" s="12"/>
    </row>
    <row r="1042" spans="2:7" x14ac:dyDescent="0.25">
      <c r="B1042" s="6"/>
      <c r="C1042" s="12"/>
      <c r="D1042" s="6"/>
      <c r="E1042" s="12"/>
      <c r="F1042" s="6"/>
      <c r="G1042" s="12"/>
    </row>
    <row r="1043" spans="2:7" x14ac:dyDescent="0.25">
      <c r="B1043" s="6"/>
      <c r="C1043" s="12"/>
      <c r="D1043" s="6"/>
      <c r="E1043" s="12"/>
      <c r="F1043" s="6"/>
      <c r="G1043" s="12"/>
    </row>
    <row r="1044" spans="2:7" x14ac:dyDescent="0.25">
      <c r="B1044" s="6"/>
      <c r="C1044" s="12"/>
      <c r="D1044" s="6"/>
      <c r="E1044" s="12"/>
      <c r="F1044" s="6"/>
      <c r="G1044" s="12"/>
    </row>
    <row r="1045" spans="2:7" x14ac:dyDescent="0.25">
      <c r="B1045" s="6"/>
      <c r="C1045" s="12"/>
      <c r="D1045" s="6"/>
      <c r="E1045" s="12"/>
      <c r="F1045" s="6"/>
      <c r="G1045" s="12"/>
    </row>
    <row r="1046" spans="2:7" x14ac:dyDescent="0.25">
      <c r="B1046" s="6"/>
      <c r="C1046" s="12"/>
      <c r="D1046" s="6"/>
      <c r="E1046" s="12"/>
      <c r="F1046" s="6"/>
      <c r="G1046" s="12"/>
    </row>
    <row r="1047" spans="2:7" x14ac:dyDescent="0.25">
      <c r="B1047" s="6"/>
      <c r="C1047" s="12"/>
      <c r="D1047" s="6"/>
      <c r="E1047" s="12"/>
      <c r="F1047" s="6"/>
      <c r="G1047" s="12"/>
    </row>
    <row r="1048" spans="2:7" x14ac:dyDescent="0.25">
      <c r="B1048" s="6"/>
      <c r="C1048" s="12"/>
      <c r="D1048" s="6"/>
      <c r="E1048" s="12"/>
      <c r="F1048" s="6"/>
      <c r="G1048" s="12"/>
    </row>
    <row r="1049" spans="2:7" x14ac:dyDescent="0.25">
      <c r="B1049" s="6"/>
      <c r="C1049" s="12"/>
      <c r="D1049" s="6"/>
      <c r="E1049" s="12"/>
      <c r="F1049" s="6"/>
      <c r="G1049" s="12"/>
    </row>
    <row r="1050" spans="2:7" x14ac:dyDescent="0.25">
      <c r="B1050" s="6"/>
      <c r="C1050" s="12"/>
      <c r="D1050" s="6"/>
      <c r="E1050" s="12"/>
      <c r="F1050" s="6"/>
      <c r="G1050" s="12"/>
    </row>
    <row r="1051" spans="2:7" x14ac:dyDescent="0.25">
      <c r="B1051" s="6"/>
      <c r="C1051" s="12"/>
      <c r="D1051" s="6"/>
      <c r="E1051" s="12"/>
      <c r="F1051" s="6"/>
      <c r="G1051" s="12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21</vt:i4>
      </vt:variant>
    </vt:vector>
  </HeadingPairs>
  <TitlesOfParts>
    <vt:vector size="24" baseType="lpstr">
      <vt:lpstr>Parameters</vt:lpstr>
      <vt:lpstr>Markov model</vt:lpstr>
      <vt:lpstr>Analysis</vt:lpstr>
      <vt:lpstr>cAZT</vt:lpstr>
      <vt:lpstr>ccca</vt:lpstr>
      <vt:lpstr>cccb</vt:lpstr>
      <vt:lpstr>cccc</vt:lpstr>
      <vt:lpstr>cDR</vt:lpstr>
      <vt:lpstr>cLam</vt:lpstr>
      <vt:lpstr>dmca</vt:lpstr>
      <vt:lpstr>dmcb</vt:lpstr>
      <vt:lpstr>dmcc</vt:lpstr>
      <vt:lpstr>oDR</vt:lpstr>
      <vt:lpstr>RR</vt:lpstr>
      <vt:lpstr>tpA2A</vt:lpstr>
      <vt:lpstr>tpA2B</vt:lpstr>
      <vt:lpstr>tpA2C</vt:lpstr>
      <vt:lpstr>tpA2D</vt:lpstr>
      <vt:lpstr>tpAtoD</vt:lpstr>
      <vt:lpstr>tpB2B</vt:lpstr>
      <vt:lpstr>tpB2C</vt:lpstr>
      <vt:lpstr>tpB2D</vt:lpstr>
      <vt:lpstr>tpC2C</vt:lpstr>
      <vt:lpstr>tpC2D</vt:lpstr>
    </vt:vector>
  </TitlesOfParts>
  <Company>University of Oxford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Briggs</dc:creator>
  <cp:lastModifiedBy>Javier</cp:lastModifiedBy>
  <dcterms:created xsi:type="dcterms:W3CDTF">2004-10-20T21:19:04Z</dcterms:created>
  <dcterms:modified xsi:type="dcterms:W3CDTF">2016-03-04T19:30:15Z</dcterms:modified>
</cp:coreProperties>
</file>