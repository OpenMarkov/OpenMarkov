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120" windowWidth="7296" windowHeight="4320"/>
  </bookViews>
  <sheets>
    <sheet name="Figure" sheetId="3" r:id="rId1"/>
    <sheet name="Model" sheetId="2" r:id="rId2"/>
    <sheet name="SA" sheetId="1" r:id="rId3"/>
    <sheet name="Scenario Summary" sheetId="4" r:id="rId4"/>
  </sheets>
  <definedNames>
    <definedName name="BTP_A_AND">Model!$G$22</definedName>
    <definedName name="BTP_A_BNAND">Model!$G$24</definedName>
    <definedName name="BTP_A_CNAND">Model!$G$25</definedName>
    <definedName name="BTP_A_D">Model!$G$20</definedName>
    <definedName name="BTP_A_NAND">Model!$G$23</definedName>
    <definedName name="BTP_A_ND">Model!$G$21</definedName>
    <definedName name="BTP_B_A">Model!$G$31</definedName>
    <definedName name="BTP_B_BND">Model!$G$29</definedName>
    <definedName name="BTP_B_CNBND">Model!$G$31</definedName>
    <definedName name="BTP_B_CND">Model!$G$30</definedName>
    <definedName name="BTP_B_D">Model!$G$27</definedName>
    <definedName name="BTP_B_ND">Model!$G$28</definedName>
    <definedName name="btp_c_a">Model!$G$35</definedName>
    <definedName name="btp_c_b">Model!$G$36</definedName>
    <definedName name="btp_c_c">Model!$G$34</definedName>
    <definedName name="btp_c_d">Model!$G$33</definedName>
    <definedName name="btp_d_d">Model!$G$38</definedName>
    <definedName name="ccca">Model!$C$46</definedName>
    <definedName name="cccb">Model!$C$47</definedName>
    <definedName name="cccc">Model!$C$48</definedName>
    <definedName name="Cost_A_D">Model!$C$60</definedName>
    <definedName name="Cost_A_S">Model!$C$55</definedName>
    <definedName name="Cost_B_D">Model!$C$61</definedName>
    <definedName name="Cost_B_S">Model!$C$56</definedName>
    <definedName name="Cost_C_D">Model!$C$62</definedName>
    <definedName name="Cost_C_S">Model!$C$57</definedName>
    <definedName name="dcd">Model!$C$52</definedName>
    <definedName name="dcm">Model!$C$51</definedName>
    <definedName name="dmca">Model!$C$41</definedName>
    <definedName name="dmcb">Model!$C$42</definedName>
    <definedName name="dmcc">Model!$C$43</definedName>
    <definedName name="DR_B">Model!$C$70</definedName>
    <definedName name="DR_C">Model!$C$69</definedName>
    <definedName name="Duration">Model!$C$68</definedName>
    <definedName name="exccomb">Model!$C$4</definedName>
    <definedName name="excmono">Model!$B$4</definedName>
    <definedName name="exlycomb">Model!$C$5</definedName>
    <definedName name="exlymono">Model!$B$5</definedName>
    <definedName name="incidence">#REF!</definedName>
    <definedName name="lcc">Model!$C$71</definedName>
    <definedName name="otp_a_a">Model!#REF!</definedName>
    <definedName name="otp_a_b">Model!#REF!</definedName>
    <definedName name="otp_a_c">Model!#REF!</definedName>
    <definedName name="otp_a_d">Model!#REF!</definedName>
    <definedName name="otp_b_a">Model!#REF!</definedName>
    <definedName name="otp_b_b">Model!#REF!</definedName>
    <definedName name="otp_b_c">Model!#REF!</definedName>
    <definedName name="otp_b_d">Model!#REF!</definedName>
    <definedName name="otp_c_a">Model!#REF!</definedName>
    <definedName name="otp_c_b">Model!#REF!</definedName>
    <definedName name="otp_c_c">Model!#REF!</definedName>
    <definedName name="otp_c_d">Model!#REF!</definedName>
    <definedName name="otp_d_d">Model!#REF!</definedName>
    <definedName name="population">#REF!</definedName>
    <definedName name="RR">Model!$C$67</definedName>
    <definedName name="TP_A_A">Model!$C$20</definedName>
    <definedName name="TP_A_B">Model!$C$21</definedName>
    <definedName name="TP_A_C">Model!$C$22</definedName>
    <definedName name="TP_A_D">Model!$C$23</definedName>
    <definedName name="TP_B_A">Model!$C$25</definedName>
    <definedName name="TP_B_B">Model!$C$26</definedName>
    <definedName name="TP_B_C">Model!$C$27</definedName>
    <definedName name="TP_B_D">Model!$C$28</definedName>
    <definedName name="TP_C_A">Model!$C$30</definedName>
    <definedName name="TP_C_B">Model!$C$31</definedName>
    <definedName name="TP_C_C">Model!$C$32</definedName>
    <definedName name="TP_C_D">Model!$C$33</definedName>
    <definedName name="TP_D_D">Model!$C$35</definedName>
    <definedName name="usefulyears">#REF!</definedName>
  </definedNames>
  <calcPr calcId="145621"/>
</workbook>
</file>

<file path=xl/calcChain.xml><?xml version="1.0" encoding="utf-8"?>
<calcChain xmlns="http://schemas.openxmlformats.org/spreadsheetml/2006/main">
  <c r="K24" i="2" l="1"/>
  <c r="I24" i="2"/>
  <c r="H24" i="2"/>
  <c r="G24" i="2"/>
  <c r="K20" i="2"/>
  <c r="C127" i="2"/>
  <c r="H127" i="2"/>
  <c r="J127" i="2"/>
  <c r="J129" i="2"/>
  <c r="C5" i="2"/>
  <c r="C7" i="2"/>
  <c r="A143" i="2"/>
  <c r="G20" i="2"/>
  <c r="I20" i="2"/>
  <c r="H20" i="2"/>
  <c r="H99" i="2"/>
  <c r="D21" i="2"/>
  <c r="D22" i="2"/>
  <c r="D20" i="2"/>
  <c r="D23" i="2"/>
  <c r="D27" i="2"/>
  <c r="D28" i="2"/>
  <c r="D26" i="2"/>
  <c r="D33" i="2"/>
  <c r="D32" i="2"/>
  <c r="D35" i="2"/>
  <c r="C52" i="2"/>
  <c r="C61" i="2"/>
  <c r="C55" i="2"/>
  <c r="C56" i="2"/>
  <c r="C57" i="2"/>
  <c r="K80" i="2"/>
  <c r="C60" i="2"/>
  <c r="C62" i="2"/>
  <c r="F79" i="2"/>
  <c r="B80" i="2"/>
  <c r="C80" i="2"/>
  <c r="D80" i="2"/>
  <c r="E80" i="2"/>
  <c r="F80" i="2"/>
  <c r="G80" i="2"/>
  <c r="H80" i="2"/>
  <c r="I80" i="2"/>
  <c r="J80" i="2"/>
  <c r="B81" i="2"/>
  <c r="C81" i="2"/>
  <c r="D81" i="2"/>
  <c r="G81" i="2"/>
  <c r="I81" i="2"/>
  <c r="E81" i="2"/>
  <c r="F81" i="2"/>
  <c r="H81" i="2"/>
  <c r="J81" i="2"/>
  <c r="B82" i="2"/>
  <c r="C82" i="2"/>
  <c r="F82" i="2"/>
  <c r="D82" i="2"/>
  <c r="E82" i="2"/>
  <c r="G82" i="2"/>
  <c r="I82" i="2"/>
  <c r="B83" i="2"/>
  <c r="G83" i="2"/>
  <c r="I83" i="2"/>
  <c r="C83" i="2"/>
  <c r="D83" i="2"/>
  <c r="E83" i="2"/>
  <c r="F83" i="2"/>
  <c r="H83" i="2"/>
  <c r="J83" i="2"/>
  <c r="C84" i="2"/>
  <c r="E84" i="2"/>
  <c r="F107" i="2"/>
  <c r="B108" i="2"/>
  <c r="G108" i="2"/>
  <c r="I108" i="2"/>
  <c r="C108" i="2"/>
  <c r="D108" i="2"/>
  <c r="E108" i="2"/>
  <c r="F108" i="2"/>
  <c r="H108" i="2"/>
  <c r="J108" i="2"/>
  <c r="N108" i="2"/>
  <c r="O108" i="2"/>
  <c r="P108" i="2"/>
  <c r="Q108" i="2"/>
  <c r="B109" i="2"/>
  <c r="C109" i="2"/>
  <c r="F109" i="2"/>
  <c r="D109" i="2"/>
  <c r="E109" i="2"/>
  <c r="G109" i="2"/>
  <c r="I109" i="2"/>
  <c r="N109" i="2"/>
  <c r="O109" i="2"/>
  <c r="P109" i="2"/>
  <c r="Q109" i="2"/>
  <c r="B110" i="2"/>
  <c r="G110" i="2"/>
  <c r="I110" i="2"/>
  <c r="C110" i="2"/>
  <c r="D110" i="2"/>
  <c r="D111" i="2"/>
  <c r="E110" i="2"/>
  <c r="F110" i="2"/>
  <c r="H110" i="2"/>
  <c r="J110" i="2"/>
  <c r="N110" i="2"/>
  <c r="O110" i="2"/>
  <c r="P110" i="2"/>
  <c r="C111" i="2"/>
  <c r="E111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N126" i="2"/>
  <c r="O126" i="2"/>
  <c r="P126" i="2"/>
  <c r="N127" i="2"/>
  <c r="O127" i="2"/>
  <c r="P127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K110" i="2"/>
  <c r="K109" i="2"/>
  <c r="L109" i="2"/>
  <c r="K82" i="2"/>
  <c r="L82" i="2"/>
  <c r="K81" i="2"/>
  <c r="L81" i="2"/>
  <c r="B111" i="2"/>
  <c r="H109" i="2"/>
  <c r="K108" i="2"/>
  <c r="D84" i="2"/>
  <c r="B84" i="2"/>
  <c r="K83" i="2"/>
  <c r="H82" i="2"/>
  <c r="J82" i="2"/>
  <c r="G84" i="2"/>
  <c r="K84" i="2"/>
  <c r="L84" i="2"/>
  <c r="B85" i="2"/>
  <c r="D85" i="2"/>
  <c r="F84" i="2"/>
  <c r="H84" i="2"/>
  <c r="J84" i="2"/>
  <c r="C85" i="2"/>
  <c r="E85" i="2"/>
  <c r="L108" i="2"/>
  <c r="L83" i="2"/>
  <c r="J109" i="2"/>
  <c r="F111" i="2"/>
  <c r="H111" i="2"/>
  <c r="J111" i="2"/>
  <c r="C112" i="2"/>
  <c r="E112" i="2"/>
  <c r="G111" i="2"/>
  <c r="K111" i="2"/>
  <c r="L111" i="2"/>
  <c r="B112" i="2"/>
  <c r="D112" i="2"/>
  <c r="G112" i="2"/>
  <c r="I112" i="2"/>
  <c r="K112" i="2"/>
  <c r="L112" i="2"/>
  <c r="B113" i="2"/>
  <c r="D113" i="2"/>
  <c r="F112" i="2"/>
  <c r="H112" i="2"/>
  <c r="J112" i="2"/>
  <c r="C113" i="2"/>
  <c r="E113" i="2"/>
  <c r="I111" i="2"/>
  <c r="F85" i="2"/>
  <c r="H85" i="2"/>
  <c r="J85" i="2"/>
  <c r="C86" i="2"/>
  <c r="E86" i="2"/>
  <c r="G85" i="2"/>
  <c r="I85" i="2"/>
  <c r="K85" i="2"/>
  <c r="L85" i="2"/>
  <c r="B86" i="2"/>
  <c r="D86" i="2"/>
  <c r="I84" i="2"/>
  <c r="G86" i="2"/>
  <c r="K86" i="2"/>
  <c r="L86" i="2"/>
  <c r="B87" i="2"/>
  <c r="D87" i="2"/>
  <c r="F86" i="2"/>
  <c r="H86" i="2"/>
  <c r="J86" i="2"/>
  <c r="C87" i="2"/>
  <c r="E87" i="2"/>
  <c r="F113" i="2"/>
  <c r="H113" i="2"/>
  <c r="J113" i="2"/>
  <c r="C114" i="2"/>
  <c r="E114" i="2"/>
  <c r="G113" i="2"/>
  <c r="K113" i="2"/>
  <c r="L113" i="2"/>
  <c r="B114" i="2"/>
  <c r="D114" i="2"/>
  <c r="G114" i="2"/>
  <c r="I114" i="2"/>
  <c r="K114" i="2"/>
  <c r="L114" i="2"/>
  <c r="B115" i="2"/>
  <c r="D115" i="2"/>
  <c r="F114" i="2"/>
  <c r="H114" i="2"/>
  <c r="C115" i="2"/>
  <c r="E115" i="2"/>
  <c r="I113" i="2"/>
  <c r="F87" i="2"/>
  <c r="H87" i="2"/>
  <c r="C88" i="2"/>
  <c r="E88" i="2"/>
  <c r="G87" i="2"/>
  <c r="I87" i="2"/>
  <c r="K87" i="2"/>
  <c r="B88" i="2"/>
  <c r="D88" i="2"/>
  <c r="I86" i="2"/>
  <c r="G88" i="2"/>
  <c r="K88" i="2"/>
  <c r="L88" i="2"/>
  <c r="B89" i="2"/>
  <c r="D89" i="2"/>
  <c r="F88" i="2"/>
  <c r="H88" i="2"/>
  <c r="J88" i="2"/>
  <c r="C89" i="2"/>
  <c r="E89" i="2"/>
  <c r="F115" i="2"/>
  <c r="H115" i="2"/>
  <c r="J115" i="2"/>
  <c r="C116" i="2"/>
  <c r="E116" i="2"/>
  <c r="G115" i="2"/>
  <c r="B116" i="2"/>
  <c r="K115" i="2"/>
  <c r="L115" i="2"/>
  <c r="D116" i="2"/>
  <c r="L87" i="2"/>
  <c r="J87" i="2"/>
  <c r="J114" i="2"/>
  <c r="G116" i="2"/>
  <c r="I116" i="2"/>
  <c r="K116" i="2"/>
  <c r="L116" i="2"/>
  <c r="B117" i="2"/>
  <c r="F116" i="2"/>
  <c r="C117" i="2"/>
  <c r="E117" i="2"/>
  <c r="H116" i="2"/>
  <c r="D117" i="2"/>
  <c r="I115" i="2"/>
  <c r="G89" i="2"/>
  <c r="I89" i="2"/>
  <c r="K89" i="2"/>
  <c r="B90" i="2"/>
  <c r="D90" i="2"/>
  <c r="H89" i="2"/>
  <c r="E90" i="2"/>
  <c r="F89" i="2"/>
  <c r="C90" i="2"/>
  <c r="I88" i="2"/>
  <c r="J89" i="2"/>
  <c r="F90" i="2"/>
  <c r="H90" i="2"/>
  <c r="J90" i="2"/>
  <c r="C91" i="2"/>
  <c r="E91" i="2"/>
  <c r="B91" i="2"/>
  <c r="G90" i="2"/>
  <c r="K90" i="2"/>
  <c r="L90" i="2"/>
  <c r="D91" i="2"/>
  <c r="L89" i="2"/>
  <c r="J116" i="2"/>
  <c r="G117" i="2"/>
  <c r="K117" i="2"/>
  <c r="L117" i="2"/>
  <c r="B118" i="2"/>
  <c r="D118" i="2"/>
  <c r="F117" i="2"/>
  <c r="H117" i="2"/>
  <c r="J117" i="2"/>
  <c r="C118" i="2"/>
  <c r="E118" i="2"/>
  <c r="F118" i="2"/>
  <c r="H118" i="2"/>
  <c r="J118" i="2"/>
  <c r="C119" i="2"/>
  <c r="E119" i="2"/>
  <c r="G118" i="2"/>
  <c r="I118" i="2"/>
  <c r="K118" i="2"/>
  <c r="L118" i="2"/>
  <c r="B119" i="2"/>
  <c r="D119" i="2"/>
  <c r="I117" i="2"/>
  <c r="G91" i="2"/>
  <c r="I91" i="2"/>
  <c r="K91" i="2"/>
  <c r="B92" i="2"/>
  <c r="D92" i="2"/>
  <c r="F91" i="2"/>
  <c r="C92" i="2"/>
  <c r="H91" i="2"/>
  <c r="J91" i="2"/>
  <c r="E92" i="2"/>
  <c r="I90" i="2"/>
  <c r="F92" i="2"/>
  <c r="H92" i="2"/>
  <c r="J92" i="2"/>
  <c r="C93" i="2"/>
  <c r="E93" i="2"/>
  <c r="G92" i="2"/>
  <c r="K92" i="2"/>
  <c r="L92" i="2"/>
  <c r="D93" i="2"/>
  <c r="B93" i="2"/>
  <c r="L91" i="2"/>
  <c r="G119" i="2"/>
  <c r="K119" i="2"/>
  <c r="L119" i="2"/>
  <c r="B120" i="2"/>
  <c r="D120" i="2"/>
  <c r="F119" i="2"/>
  <c r="H119" i="2"/>
  <c r="J119" i="2"/>
  <c r="C120" i="2"/>
  <c r="E120" i="2"/>
  <c r="F120" i="2"/>
  <c r="H120" i="2"/>
  <c r="J120" i="2"/>
  <c r="C121" i="2"/>
  <c r="E121" i="2"/>
  <c r="G120" i="2"/>
  <c r="I120" i="2"/>
  <c r="K120" i="2"/>
  <c r="L120" i="2"/>
  <c r="B121" i="2"/>
  <c r="D121" i="2"/>
  <c r="I119" i="2"/>
  <c r="G93" i="2"/>
  <c r="I93" i="2"/>
  <c r="K93" i="2"/>
  <c r="L93" i="2"/>
  <c r="B94" i="2"/>
  <c r="D94" i="2"/>
  <c r="H93" i="2"/>
  <c r="J93" i="2"/>
  <c r="E94" i="2"/>
  <c r="F93" i="2"/>
  <c r="C94" i="2"/>
  <c r="I92" i="2"/>
  <c r="F94" i="2"/>
  <c r="H94" i="2"/>
  <c r="J94" i="2"/>
  <c r="C95" i="2"/>
  <c r="E95" i="2"/>
  <c r="B95" i="2"/>
  <c r="G94" i="2"/>
  <c r="I94" i="2"/>
  <c r="K94" i="2"/>
  <c r="L94" i="2"/>
  <c r="D95" i="2"/>
  <c r="G121" i="2"/>
  <c r="I121" i="2"/>
  <c r="K121" i="2"/>
  <c r="L121" i="2"/>
  <c r="B122" i="2"/>
  <c r="D122" i="2"/>
  <c r="F121" i="2"/>
  <c r="H121" i="2"/>
  <c r="J121" i="2"/>
  <c r="C122" i="2"/>
  <c r="E122" i="2"/>
  <c r="F122" i="2"/>
  <c r="H122" i="2"/>
  <c r="J122" i="2"/>
  <c r="C123" i="2"/>
  <c r="E123" i="2"/>
  <c r="G122" i="2"/>
  <c r="I122" i="2"/>
  <c r="K122" i="2"/>
  <c r="L122" i="2"/>
  <c r="B123" i="2"/>
  <c r="D123" i="2"/>
  <c r="G95" i="2"/>
  <c r="I95" i="2"/>
  <c r="K95" i="2"/>
  <c r="L95" i="2"/>
  <c r="B96" i="2"/>
  <c r="D96" i="2"/>
  <c r="F95" i="2"/>
  <c r="C96" i="2"/>
  <c r="H95" i="2"/>
  <c r="J95" i="2"/>
  <c r="E96" i="2"/>
  <c r="F96" i="2"/>
  <c r="H96" i="2"/>
  <c r="J96" i="2"/>
  <c r="G96" i="2"/>
  <c r="I96" i="2"/>
  <c r="C97" i="2"/>
  <c r="E97" i="2"/>
  <c r="K96" i="2"/>
  <c r="L96" i="2"/>
  <c r="B97" i="2"/>
  <c r="D97" i="2"/>
  <c r="G123" i="2"/>
  <c r="I123" i="2"/>
  <c r="K123" i="2"/>
  <c r="L123" i="2"/>
  <c r="B124" i="2"/>
  <c r="D124" i="2"/>
  <c r="F123" i="2"/>
  <c r="H123" i="2"/>
  <c r="J123" i="2"/>
  <c r="C124" i="2"/>
  <c r="E124" i="2"/>
  <c r="F124" i="2"/>
  <c r="H124" i="2"/>
  <c r="J124" i="2"/>
  <c r="C125" i="2"/>
  <c r="E125" i="2"/>
  <c r="G124" i="2"/>
  <c r="I124" i="2"/>
  <c r="K124" i="2"/>
  <c r="L124" i="2"/>
  <c r="B125" i="2"/>
  <c r="D125" i="2"/>
  <c r="G97" i="2"/>
  <c r="I97" i="2"/>
  <c r="K97" i="2"/>
  <c r="L97" i="2"/>
  <c r="B98" i="2"/>
  <c r="D98" i="2"/>
  <c r="F97" i="2"/>
  <c r="H97" i="2"/>
  <c r="J97" i="2"/>
  <c r="C98" i="2"/>
  <c r="E98" i="2"/>
  <c r="F98" i="2"/>
  <c r="H98" i="2"/>
  <c r="J98" i="2"/>
  <c r="C99" i="2"/>
  <c r="C132" i="2"/>
  <c r="E99" i="2"/>
  <c r="G98" i="2"/>
  <c r="I98" i="2"/>
  <c r="K98" i="2"/>
  <c r="L98" i="2"/>
  <c r="B99" i="2"/>
  <c r="D99" i="2"/>
  <c r="D132" i="2"/>
  <c r="G125" i="2"/>
  <c r="I125" i="2"/>
  <c r="K125" i="2"/>
  <c r="L125" i="2"/>
  <c r="B126" i="2"/>
  <c r="D126" i="2"/>
  <c r="F125" i="2"/>
  <c r="H125" i="2"/>
  <c r="J125" i="2"/>
  <c r="C126" i="2"/>
  <c r="E126" i="2"/>
  <c r="F126" i="2"/>
  <c r="H126" i="2"/>
  <c r="J126" i="2"/>
  <c r="C133" i="2"/>
  <c r="E127" i="2"/>
  <c r="G126" i="2"/>
  <c r="I126" i="2"/>
  <c r="K126" i="2"/>
  <c r="L126" i="2"/>
  <c r="B127" i="2"/>
  <c r="D127" i="2"/>
  <c r="D133" i="2"/>
  <c r="G99" i="2"/>
  <c r="K99" i="2"/>
  <c r="L99" i="2"/>
  <c r="F99" i="2"/>
  <c r="B132" i="2"/>
  <c r="F132" i="2"/>
  <c r="J99" i="2"/>
  <c r="J101" i="2"/>
  <c r="H101" i="2"/>
  <c r="I99" i="2"/>
  <c r="I101" i="2"/>
  <c r="B5" i="2"/>
  <c r="G101" i="2"/>
  <c r="G127" i="2"/>
  <c r="K127" i="2"/>
  <c r="L127" i="2"/>
  <c r="F127" i="2"/>
  <c r="B133" i="2"/>
  <c r="F133" i="2"/>
  <c r="I127" i="2"/>
  <c r="I129" i="2"/>
  <c r="G129" i="2"/>
  <c r="L110" i="2"/>
  <c r="K129" i="2"/>
  <c r="L129" i="2"/>
  <c r="C4" i="2"/>
  <c r="L80" i="2"/>
  <c r="L101" i="2"/>
  <c r="B4" i="2"/>
  <c r="K101" i="2"/>
  <c r="C6" i="2"/>
  <c r="C8" i="2"/>
  <c r="A144" i="2"/>
  <c r="H129" i="2"/>
  <c r="A142" i="2"/>
</calcChain>
</file>

<file path=xl/sharedStrings.xml><?xml version="1.0" encoding="utf-8"?>
<sst xmlns="http://schemas.openxmlformats.org/spreadsheetml/2006/main" count="174" uniqueCount="124">
  <si>
    <t>Results</t>
  </si>
  <si>
    <t>Monotherapy</t>
  </si>
  <si>
    <t>Combination</t>
  </si>
  <si>
    <t>Expected cost</t>
  </si>
  <si>
    <t>Life-years</t>
  </si>
  <si>
    <t>Incremental cost</t>
  </si>
  <si>
    <t>Incremental outcome</t>
  </si>
  <si>
    <t>ICER</t>
  </si>
  <si>
    <t>Parameters</t>
  </si>
  <si>
    <t>Transition Probabilities with distributions</t>
  </si>
  <si>
    <t>Parameter</t>
  </si>
  <si>
    <t>Name</t>
  </si>
  <si>
    <t>Value</t>
  </si>
  <si>
    <t>Transition probability to A to A</t>
  </si>
  <si>
    <t>TP_A_A</t>
  </si>
  <si>
    <t>Transition probability to A to B</t>
  </si>
  <si>
    <t>TP_A_B</t>
  </si>
  <si>
    <t>Transition probability to A to C</t>
  </si>
  <si>
    <t>TP_A_C</t>
  </si>
  <si>
    <t>Transition probability to A to D</t>
  </si>
  <si>
    <t>TP_A_D</t>
  </si>
  <si>
    <t>Transition probability to B to A</t>
  </si>
  <si>
    <t>TP_B_A</t>
  </si>
  <si>
    <t>Transition probability to B to B</t>
  </si>
  <si>
    <t>TP_B_B</t>
  </si>
  <si>
    <t>Transition probability to B to C</t>
  </si>
  <si>
    <t>TP_B_C</t>
  </si>
  <si>
    <t>Transition probability to B to D</t>
  </si>
  <si>
    <t>TP_B_D</t>
  </si>
  <si>
    <t>Transition probability to C to A</t>
  </si>
  <si>
    <t>TP_C_A</t>
  </si>
  <si>
    <t>Transition probability to C to B</t>
  </si>
  <si>
    <t>TP_C_B</t>
  </si>
  <si>
    <t>Transition probability to C to C</t>
  </si>
  <si>
    <t>TP_C_C</t>
  </si>
  <si>
    <t>Transition probability to C to D</t>
  </si>
  <si>
    <t>TP_C_D</t>
  </si>
  <si>
    <t>Transition probability to D to D</t>
  </si>
  <si>
    <t>TP_D_D</t>
  </si>
  <si>
    <t>Costs</t>
  </si>
  <si>
    <t>Cost</t>
  </si>
  <si>
    <t>Direct Medical costs</t>
  </si>
  <si>
    <t>Cost of State A</t>
  </si>
  <si>
    <t>dmca</t>
  </si>
  <si>
    <t>Cost of State B</t>
  </si>
  <si>
    <t>dmcb</t>
  </si>
  <si>
    <t>Cost of State C</t>
  </si>
  <si>
    <t>dmcc</t>
  </si>
  <si>
    <t>Community care cost</t>
  </si>
  <si>
    <t>ccca</t>
  </si>
  <si>
    <t>cccb</t>
  </si>
  <si>
    <t>cccc</t>
  </si>
  <si>
    <t>Drug cost</t>
  </si>
  <si>
    <t>Zidovudine</t>
  </si>
  <si>
    <t>dcm</t>
  </si>
  <si>
    <t>Lamivudine</t>
  </si>
  <si>
    <t>dcd</t>
  </si>
  <si>
    <t>Costs of monotherapy</t>
  </si>
  <si>
    <t>Cost_A_S</t>
  </si>
  <si>
    <t>Cost_B_S</t>
  </si>
  <si>
    <t>Cost_C_S</t>
  </si>
  <si>
    <t>Costs of combination therapy</t>
  </si>
  <si>
    <t>Cost_A_D</t>
  </si>
  <si>
    <t>Cost_B_D</t>
  </si>
  <si>
    <t>Cost_C_D</t>
  </si>
  <si>
    <t>Other parameters</t>
  </si>
  <si>
    <t>Treatment effect (RR)</t>
  </si>
  <si>
    <t>RR</t>
  </si>
  <si>
    <t>Duration of effect (years)</t>
  </si>
  <si>
    <t>Duration</t>
  </si>
  <si>
    <t>Annual discount rate - costs (%)</t>
  </si>
  <si>
    <t>DR_C</t>
  </si>
  <si>
    <t>Annual discount rate - benefits (%)</t>
  </si>
  <si>
    <t>DR_B</t>
  </si>
  <si>
    <t>Use half cycle correction (1= yes; 0 = No)</t>
  </si>
  <si>
    <t>lcc</t>
  </si>
  <si>
    <t>Markov Models</t>
  </si>
  <si>
    <t>Cohort on monotherapy</t>
  </si>
  <si>
    <t>Undiscounted life-years</t>
  </si>
  <si>
    <t>Discounted life-years</t>
  </si>
  <si>
    <t>Cycle</t>
  </si>
  <si>
    <t>State A</t>
  </si>
  <si>
    <t>State B</t>
  </si>
  <si>
    <t>State C</t>
  </si>
  <si>
    <t>State D</t>
  </si>
  <si>
    <t>Total</t>
  </si>
  <si>
    <t>Adjustment</t>
  </si>
  <si>
    <t>No adjustment</t>
  </si>
  <si>
    <t>Undiscounted</t>
  </si>
  <si>
    <t>Discounted</t>
  </si>
  <si>
    <t>Cohort on combination therapy</t>
  </si>
  <si>
    <t>Treatment effect</t>
  </si>
  <si>
    <t>Combination drug costs</t>
  </si>
  <si>
    <t>Years in state</t>
  </si>
  <si>
    <t>A</t>
  </si>
  <si>
    <t>B</t>
  </si>
  <si>
    <t>C</t>
  </si>
  <si>
    <t>Life expectancy</t>
  </si>
  <si>
    <t>Combination therapy</t>
  </si>
  <si>
    <t>One-way sensitvity analysis</t>
  </si>
  <si>
    <t>Direct costs of AIDS</t>
  </si>
  <si>
    <t>Expected Incremental Cost</t>
  </si>
  <si>
    <t xml:space="preserve">Value - </t>
  </si>
  <si>
    <t>baseline</t>
  </si>
  <si>
    <t>dual therapy</t>
  </si>
  <si>
    <t>$C$8</t>
  </si>
  <si>
    <t>RR1</t>
  </si>
  <si>
    <t>Created by mjs23 on 07/10/01</t>
  </si>
  <si>
    <t>RR2</t>
  </si>
  <si>
    <t>rr3</t>
  </si>
  <si>
    <t>rr4</t>
  </si>
  <si>
    <t>rr5</t>
  </si>
  <si>
    <t>rr6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</si>
  <si>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</si>
  <si>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</si>
  <si>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</si>
  <si>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</si>
  <si>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</si>
  <si>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</si>
  <si>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</si>
  <si>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D</t>
  </si>
  <si>
    <t>Suma</t>
  </si>
  <si>
    <t>baseline (t  &gt; 2)</t>
  </si>
  <si>
    <t>dual (t  &lt;=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</si>
</sst>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£&quot;#,##0;\-&quot;£&quot;#,##0"/>
    <numFmt numFmtId="168" formatCode="_-&quot;£&quot;* #,##0_-;\-&quot;£&quot;* #,##0_-;_-&quot;£&quot;* &quot;-&quot;_-;_-@_-"/>
    <numFmt numFmtId="170" formatCode="_-&quot;£&quot;* #,##0.00_-;\-&quot;£&quot;* #,##0.00_-;_-&quot;£&quot;* &quot;-&quot;??_-;_-@_-"/>
    <numFmt numFmtId="172" formatCode="0.000"/>
    <numFmt numFmtId="176" formatCode="&quot;£&quot;#,##0"/>
    <numFmt numFmtId="177" formatCode="0.0"/>
    <numFmt numFmtId="183" formatCode="_-&quot;£&quot;* #,##0_-;\-&quot;£&quot;* #,##0_-;_-&quot;£&quot;* &quot;-&quot;??_-;_-@_-"/>
    <numFmt numFmtId="184" formatCode="#,##0.0000"/>
  </numFmts>
  <fonts count="19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u/>
      <sz val="10"/>
      <name val="Arial"/>
      <family val="2"/>
    </font>
    <font>
      <b/>
      <i/>
      <sz val="10"/>
      <color indexed="10"/>
      <name val="Arial"/>
    </font>
    <font>
      <b/>
      <u/>
      <sz val="10"/>
      <name val="Arial"/>
    </font>
    <font>
      <b/>
      <sz val="12"/>
      <color indexed="10"/>
      <name val="Arial"/>
      <family val="2"/>
    </font>
    <font>
      <b/>
      <sz val="8"/>
      <color indexed="12"/>
      <name val="Arial"/>
    </font>
    <font>
      <sz val="8"/>
      <name val="Arial"/>
      <family val="2"/>
    </font>
    <font>
      <b/>
      <i/>
      <sz val="9"/>
      <name val="Arial"/>
      <family val="2"/>
    </font>
    <font>
      <b/>
      <sz val="11"/>
      <color indexed="9"/>
      <name val="Arial"/>
    </font>
    <font>
      <b/>
      <sz val="10"/>
      <color indexed="8"/>
      <name val="Arial"/>
    </font>
    <font>
      <b/>
      <sz val="10"/>
      <color indexed="18"/>
      <name val="Arial"/>
    </font>
    <font>
      <sz val="9"/>
      <color indexed="9"/>
      <name val="Arial"/>
    </font>
    <font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4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/>
    <xf numFmtId="0" fontId="3" fillId="0" borderId="0" xfId="0" applyFont="1"/>
    <xf numFmtId="0" fontId="0" fillId="0" borderId="1" xfId="0" applyBorder="1"/>
    <xf numFmtId="0" fontId="2" fillId="0" borderId="0" xfId="0" applyFont="1"/>
    <xf numFmtId="172" fontId="0" fillId="0" borderId="0" xfId="0" applyNumberFormat="1"/>
    <xf numFmtId="0" fontId="2" fillId="0" borderId="1" xfId="0" applyFont="1" applyBorder="1"/>
    <xf numFmtId="0" fontId="3" fillId="2" borderId="1" xfId="0" applyFont="1" applyFill="1" applyBorder="1"/>
    <xf numFmtId="0" fontId="1" fillId="2" borderId="1" xfId="0" applyFont="1" applyFill="1" applyBorder="1"/>
    <xf numFmtId="176" fontId="0" fillId="0" borderId="0" xfId="0" applyNumberFormat="1"/>
    <xf numFmtId="176" fontId="0" fillId="0" borderId="1" xfId="0" applyNumberFormat="1" applyBorder="1"/>
    <xf numFmtId="0" fontId="6" fillId="0" borderId="1" xfId="0" applyFont="1" applyBorder="1" applyAlignment="1"/>
    <xf numFmtId="0" fontId="4" fillId="0" borderId="0" xfId="0" applyFont="1" applyFill="1" applyBorder="1"/>
    <xf numFmtId="9" fontId="0" fillId="0" borderId="0" xfId="0" applyNumberFormat="1"/>
    <xf numFmtId="0" fontId="0" fillId="0" borderId="0" xfId="0" applyBorder="1"/>
    <xf numFmtId="0" fontId="2" fillId="0" borderId="0" xfId="0" applyFont="1" applyBorder="1"/>
    <xf numFmtId="1" fontId="4" fillId="0" borderId="0" xfId="0" applyNumberFormat="1" applyFont="1" applyFill="1" applyBorder="1"/>
    <xf numFmtId="1" fontId="0" fillId="0" borderId="0" xfId="0" applyNumberFormat="1"/>
    <xf numFmtId="0" fontId="1" fillId="2" borderId="1" xfId="0" applyFont="1" applyFill="1" applyBorder="1" applyAlignment="1"/>
    <xf numFmtId="0" fontId="8" fillId="2" borderId="1" xfId="0" applyFont="1" applyFill="1" applyBorder="1" applyAlignment="1"/>
    <xf numFmtId="0" fontId="9" fillId="2" borderId="0" xfId="0" applyFont="1" applyFill="1" applyAlignment="1">
      <alignment horizontal="centerContinuous"/>
    </xf>
    <xf numFmtId="0" fontId="0" fillId="0" borderId="2" xfId="0" applyBorder="1"/>
    <xf numFmtId="0" fontId="1" fillId="0" borderId="0" xfId="0" applyFont="1" applyFill="1" applyBorder="1"/>
    <xf numFmtId="0" fontId="0" fillId="0" borderId="0" xfId="0" applyFill="1"/>
    <xf numFmtId="0" fontId="0" fillId="3" borderId="2" xfId="0" applyFill="1" applyBorder="1"/>
    <xf numFmtId="0" fontId="1" fillId="3" borderId="2" xfId="0" applyFont="1" applyFill="1" applyBorder="1"/>
    <xf numFmtId="164" fontId="0" fillId="0" borderId="2" xfId="0" applyNumberFormat="1" applyBorder="1"/>
    <xf numFmtId="176" fontId="0" fillId="0" borderId="2" xfId="0" applyNumberFormat="1" applyBorder="1"/>
    <xf numFmtId="2" fontId="0" fillId="0" borderId="2" xfId="0" applyNumberFormat="1" applyBorder="1"/>
    <xf numFmtId="0" fontId="1" fillId="0" borderId="0" xfId="0" applyFont="1" applyBorder="1"/>
    <xf numFmtId="176" fontId="0" fillId="0" borderId="0" xfId="0" applyNumberFormat="1" applyBorder="1"/>
    <xf numFmtId="4" fontId="0" fillId="0" borderId="0" xfId="0" applyNumberFormat="1" applyBorder="1"/>
    <xf numFmtId="9" fontId="0" fillId="0" borderId="0" xfId="0" applyNumberFormat="1" applyBorder="1"/>
    <xf numFmtId="0" fontId="10" fillId="0" borderId="0" xfId="0" applyFont="1" applyBorder="1"/>
    <xf numFmtId="0" fontId="10" fillId="0" borderId="0" xfId="0" applyFont="1"/>
    <xf numFmtId="0" fontId="3" fillId="0" borderId="0" xfId="0" applyFont="1" applyFill="1" applyBorder="1"/>
    <xf numFmtId="183" fontId="4" fillId="0" borderId="0" xfId="1" applyNumberFormat="1" applyFont="1" applyFill="1" applyBorder="1"/>
    <xf numFmtId="0" fontId="2" fillId="0" borderId="0" xfId="0" applyFont="1" applyFill="1" applyBorder="1"/>
    <xf numFmtId="183" fontId="0" fillId="0" borderId="0" xfId="1" applyNumberFormat="1" applyFont="1"/>
    <xf numFmtId="0" fontId="0" fillId="0" borderId="3" xfId="0" applyBorder="1"/>
    <xf numFmtId="0" fontId="1" fillId="0" borderId="3" xfId="0" applyFont="1" applyBorder="1"/>
    <xf numFmtId="0" fontId="1" fillId="0" borderId="2" xfId="0" applyFont="1" applyBorder="1"/>
    <xf numFmtId="0" fontId="1" fillId="3" borderId="3" xfId="0" applyFont="1" applyFill="1" applyBorder="1"/>
    <xf numFmtId="0" fontId="7" fillId="3" borderId="3" xfId="0" applyFont="1" applyFill="1" applyBorder="1" applyAlignment="1">
      <alignment horizontal="centerContinuous"/>
    </xf>
    <xf numFmtId="172" fontId="11" fillId="0" borderId="0" xfId="0" applyNumberFormat="1" applyFont="1"/>
    <xf numFmtId="177" fontId="0" fillId="0" borderId="0" xfId="0" applyNumberFormat="1"/>
    <xf numFmtId="177" fontId="0" fillId="0" borderId="0" xfId="0" applyNumberFormat="1" applyBorder="1"/>
    <xf numFmtId="172" fontId="12" fillId="0" borderId="0" xfId="0" applyNumberFormat="1" applyFont="1"/>
    <xf numFmtId="184" fontId="0" fillId="0" borderId="0" xfId="0" applyNumberFormat="1" applyBorder="1"/>
    <xf numFmtId="0" fontId="13" fillId="0" borderId="0" xfId="0" applyFont="1"/>
    <xf numFmtId="2" fontId="0" fillId="0" borderId="0" xfId="0" applyNumberFormat="1" applyFill="1"/>
    <xf numFmtId="2" fontId="0" fillId="0" borderId="0" xfId="0" applyNumberFormat="1"/>
    <xf numFmtId="4" fontId="0" fillId="0" borderId="0" xfId="0" applyNumberFormat="1"/>
    <xf numFmtId="168" fontId="0" fillId="0" borderId="0" xfId="1" applyNumberFormat="1" applyFont="1" applyFill="1"/>
    <xf numFmtId="0" fontId="3" fillId="2" borderId="4" xfId="0" applyFont="1" applyFill="1" applyBorder="1"/>
    <xf numFmtId="0" fontId="0" fillId="0" borderId="0" xfId="0" applyFill="1" applyBorder="1" applyAlignment="1"/>
    <xf numFmtId="176" fontId="0" fillId="0" borderId="2" xfId="0" applyNumberFormat="1" applyFill="1" applyBorder="1" applyAlignment="1"/>
    <xf numFmtId="0" fontId="14" fillId="4" borderId="1" xfId="0" applyFont="1" applyFill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0" fillId="0" borderId="5" xfId="0" applyFill="1" applyBorder="1" applyAlignment="1"/>
    <xf numFmtId="0" fontId="15" fillId="5" borderId="0" xfId="0" applyFont="1" applyFill="1" applyBorder="1" applyAlignment="1">
      <alignment horizontal="left"/>
    </xf>
    <xf numFmtId="0" fontId="16" fillId="5" borderId="5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right"/>
    </xf>
    <xf numFmtId="0" fontId="17" fillId="4" borderId="1" xfId="0" applyFont="1" applyFill="1" applyBorder="1" applyAlignment="1">
      <alignment horizontal="right"/>
    </xf>
    <xf numFmtId="0" fontId="0" fillId="2" borderId="0" xfId="0" applyFill="1" applyBorder="1" applyAlignment="1"/>
    <xf numFmtId="0" fontId="12" fillId="0" borderId="0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54912099276112"/>
          <c:y val="0.11525423728813559"/>
          <c:w val="0.75491209927611169"/>
          <c:h val="0.75762711864406784"/>
        </c:manualLayout>
      </c:layout>
      <c:lineChart>
        <c:grouping val="standard"/>
        <c:varyColors val="0"/>
        <c:ser>
          <c:idx val="0"/>
          <c:order val="0"/>
          <c:tx>
            <c:strRef>
              <c:f>Model!$A$147</c:f>
              <c:strCache>
                <c:ptCount val="1"/>
                <c:pt idx="0">
                  <c:v>Discounted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Model!$B$146:$BI$146</c:f>
              <c:numCache>
                <c:formatCode>General</c:formatCode>
                <c:ptCount val="60"/>
                <c:pt idx="0">
                  <c:v>4100</c:v>
                </c:pt>
                <c:pt idx="1">
                  <c:v>4200</c:v>
                </c:pt>
                <c:pt idx="2">
                  <c:v>4300</c:v>
                </c:pt>
                <c:pt idx="3">
                  <c:v>4400</c:v>
                </c:pt>
                <c:pt idx="4">
                  <c:v>4500</c:v>
                </c:pt>
                <c:pt idx="5">
                  <c:v>4600</c:v>
                </c:pt>
                <c:pt idx="6">
                  <c:v>4700</c:v>
                </c:pt>
                <c:pt idx="7">
                  <c:v>4800</c:v>
                </c:pt>
                <c:pt idx="8">
                  <c:v>4900</c:v>
                </c:pt>
                <c:pt idx="9">
                  <c:v>5000</c:v>
                </c:pt>
                <c:pt idx="10">
                  <c:v>5100</c:v>
                </c:pt>
                <c:pt idx="11">
                  <c:v>5200</c:v>
                </c:pt>
                <c:pt idx="12">
                  <c:v>5300</c:v>
                </c:pt>
                <c:pt idx="13">
                  <c:v>5400</c:v>
                </c:pt>
                <c:pt idx="14">
                  <c:v>5500</c:v>
                </c:pt>
                <c:pt idx="15">
                  <c:v>5600</c:v>
                </c:pt>
                <c:pt idx="16">
                  <c:v>5700</c:v>
                </c:pt>
                <c:pt idx="17">
                  <c:v>5800</c:v>
                </c:pt>
                <c:pt idx="18">
                  <c:v>5900</c:v>
                </c:pt>
                <c:pt idx="19">
                  <c:v>6000</c:v>
                </c:pt>
                <c:pt idx="20">
                  <c:v>6100</c:v>
                </c:pt>
                <c:pt idx="21">
                  <c:v>6200</c:v>
                </c:pt>
                <c:pt idx="22">
                  <c:v>6300</c:v>
                </c:pt>
                <c:pt idx="23">
                  <c:v>6400</c:v>
                </c:pt>
                <c:pt idx="24">
                  <c:v>6500</c:v>
                </c:pt>
                <c:pt idx="25">
                  <c:v>6600</c:v>
                </c:pt>
                <c:pt idx="26">
                  <c:v>6700</c:v>
                </c:pt>
                <c:pt idx="27">
                  <c:v>6800</c:v>
                </c:pt>
                <c:pt idx="28">
                  <c:v>6900</c:v>
                </c:pt>
                <c:pt idx="29">
                  <c:v>7000</c:v>
                </c:pt>
                <c:pt idx="30">
                  <c:v>7100</c:v>
                </c:pt>
                <c:pt idx="31">
                  <c:v>7200</c:v>
                </c:pt>
                <c:pt idx="32">
                  <c:v>7300</c:v>
                </c:pt>
                <c:pt idx="33">
                  <c:v>7400</c:v>
                </c:pt>
                <c:pt idx="34">
                  <c:v>7500</c:v>
                </c:pt>
                <c:pt idx="35">
                  <c:v>7600</c:v>
                </c:pt>
                <c:pt idx="36">
                  <c:v>7700</c:v>
                </c:pt>
                <c:pt idx="37">
                  <c:v>7800</c:v>
                </c:pt>
                <c:pt idx="38">
                  <c:v>7900</c:v>
                </c:pt>
                <c:pt idx="39">
                  <c:v>8000</c:v>
                </c:pt>
                <c:pt idx="40">
                  <c:v>8100</c:v>
                </c:pt>
                <c:pt idx="41">
                  <c:v>8200</c:v>
                </c:pt>
                <c:pt idx="42">
                  <c:v>8300</c:v>
                </c:pt>
                <c:pt idx="43">
                  <c:v>8400</c:v>
                </c:pt>
                <c:pt idx="44">
                  <c:v>8500</c:v>
                </c:pt>
                <c:pt idx="45">
                  <c:v>8600</c:v>
                </c:pt>
                <c:pt idx="46">
                  <c:v>8700</c:v>
                </c:pt>
                <c:pt idx="47">
                  <c:v>8800</c:v>
                </c:pt>
                <c:pt idx="48">
                  <c:v>8900</c:v>
                </c:pt>
                <c:pt idx="49">
                  <c:v>9000</c:v>
                </c:pt>
                <c:pt idx="50">
                  <c:v>9100</c:v>
                </c:pt>
                <c:pt idx="51">
                  <c:v>9200</c:v>
                </c:pt>
                <c:pt idx="52">
                  <c:v>9300</c:v>
                </c:pt>
                <c:pt idx="53">
                  <c:v>9400</c:v>
                </c:pt>
                <c:pt idx="54">
                  <c:v>9500</c:v>
                </c:pt>
                <c:pt idx="55">
                  <c:v>9600</c:v>
                </c:pt>
                <c:pt idx="56">
                  <c:v>9700</c:v>
                </c:pt>
                <c:pt idx="57">
                  <c:v>9800</c:v>
                </c:pt>
                <c:pt idx="58">
                  <c:v>9900</c:v>
                </c:pt>
                <c:pt idx="59">
                  <c:v>10000</c:v>
                </c:pt>
              </c:numCache>
            </c:numRef>
          </c:cat>
          <c:val>
            <c:numRef>
              <c:f>Model!$B$147:$BI$147</c:f>
              <c:numCache>
                <c:formatCode>General</c:formatCode>
                <c:ptCount val="60"/>
                <c:pt idx="0">
                  <c:v>6290.3757083600794</c:v>
                </c:pt>
                <c:pt idx="1">
                  <c:v>6278.0400774805239</c:v>
                </c:pt>
                <c:pt idx="2">
                  <c:v>6265.7044466010339</c:v>
                </c:pt>
                <c:pt idx="3">
                  <c:v>6253.3688157214929</c:v>
                </c:pt>
                <c:pt idx="4">
                  <c:v>6241.0331848419664</c:v>
                </c:pt>
                <c:pt idx="5">
                  <c:v>6228.6975539623963</c:v>
                </c:pt>
                <c:pt idx="6">
                  <c:v>6216.3619230828772</c:v>
                </c:pt>
                <c:pt idx="7">
                  <c:v>6204.0262922033362</c:v>
                </c:pt>
                <c:pt idx="8">
                  <c:v>6191.6906613238316</c:v>
                </c:pt>
                <c:pt idx="9">
                  <c:v>6179.3550304442542</c:v>
                </c:pt>
                <c:pt idx="10">
                  <c:v>6167.0193995647496</c:v>
                </c:pt>
                <c:pt idx="11" formatCode="0">
                  <c:v>6154.6837686851941</c:v>
                </c:pt>
                <c:pt idx="12">
                  <c:v>6142.3481378056385</c:v>
                </c:pt>
                <c:pt idx="13">
                  <c:v>6130.0125069261412</c:v>
                </c:pt>
                <c:pt idx="14">
                  <c:v>6117.6768760465857</c:v>
                </c:pt>
                <c:pt idx="15">
                  <c:v>6105.341245167052</c:v>
                </c:pt>
                <c:pt idx="16">
                  <c:v>6093.0056142875328</c:v>
                </c:pt>
                <c:pt idx="17">
                  <c:v>6080.6699834079845</c:v>
                </c:pt>
                <c:pt idx="18">
                  <c:v>6068.3343525284581</c:v>
                </c:pt>
                <c:pt idx="19">
                  <c:v>6055.9987216489244</c:v>
                </c:pt>
                <c:pt idx="20">
                  <c:v>6043.6630907693834</c:v>
                </c:pt>
                <c:pt idx="21">
                  <c:v>6031.3274598898279</c:v>
                </c:pt>
                <c:pt idx="22">
                  <c:v>6018.991829010316</c:v>
                </c:pt>
                <c:pt idx="23">
                  <c:v>6006.6561981307896</c:v>
                </c:pt>
                <c:pt idx="24">
                  <c:v>5994.320567251234</c:v>
                </c:pt>
                <c:pt idx="25">
                  <c:v>5981.9849363717076</c:v>
                </c:pt>
                <c:pt idx="26">
                  <c:v>5969.6493054921593</c:v>
                </c:pt>
                <c:pt idx="27">
                  <c:v>5957.3136746126329</c:v>
                </c:pt>
                <c:pt idx="28">
                  <c:v>5944.9780437331065</c:v>
                </c:pt>
                <c:pt idx="29">
                  <c:v>5932.6424128535582</c:v>
                </c:pt>
                <c:pt idx="30">
                  <c:v>5920.306781974039</c:v>
                </c:pt>
                <c:pt idx="31">
                  <c:v>5907.9711510945053</c:v>
                </c:pt>
                <c:pt idx="32">
                  <c:v>5895.6355202149571</c:v>
                </c:pt>
                <c:pt idx="33">
                  <c:v>5883.2998893354306</c:v>
                </c:pt>
                <c:pt idx="34">
                  <c:v>5870.9642584559188</c:v>
                </c:pt>
                <c:pt idx="35">
                  <c:v>5858.6286275763559</c:v>
                </c:pt>
                <c:pt idx="36">
                  <c:v>5846.2929966968295</c:v>
                </c:pt>
                <c:pt idx="37">
                  <c:v>5833.9573658172812</c:v>
                </c:pt>
                <c:pt idx="38">
                  <c:v>5821.6217349377403</c:v>
                </c:pt>
                <c:pt idx="39">
                  <c:v>5809.2861040582284</c:v>
                </c:pt>
                <c:pt idx="40">
                  <c:v>5796.9504731786874</c:v>
                </c:pt>
                <c:pt idx="41">
                  <c:v>5784.6148422991537</c:v>
                </c:pt>
                <c:pt idx="42">
                  <c:v>5772.2792114195981</c:v>
                </c:pt>
                <c:pt idx="43">
                  <c:v>5759.9435805401008</c:v>
                </c:pt>
                <c:pt idx="44">
                  <c:v>5747.6079496605671</c:v>
                </c:pt>
                <c:pt idx="45">
                  <c:v>5735.2723187810261</c:v>
                </c:pt>
                <c:pt idx="46">
                  <c:v>5722.9366879014851</c:v>
                </c:pt>
                <c:pt idx="47">
                  <c:v>5710.601057021966</c:v>
                </c:pt>
                <c:pt idx="48">
                  <c:v>5698.2654261423886</c:v>
                </c:pt>
                <c:pt idx="49">
                  <c:v>5685.9297952628767</c:v>
                </c:pt>
                <c:pt idx="50">
                  <c:v>5673.594164383343</c:v>
                </c:pt>
                <c:pt idx="51">
                  <c:v>5661.2585335038093</c:v>
                </c:pt>
                <c:pt idx="52">
                  <c:v>5648.9229026242683</c:v>
                </c:pt>
                <c:pt idx="53">
                  <c:v>5636.5872717447273</c:v>
                </c:pt>
                <c:pt idx="54">
                  <c:v>5624.2516408651936</c:v>
                </c:pt>
                <c:pt idx="55">
                  <c:v>5611.9160099856454</c:v>
                </c:pt>
                <c:pt idx="56">
                  <c:v>5599.5803791061408</c:v>
                </c:pt>
                <c:pt idx="57">
                  <c:v>5587.2447482265852</c:v>
                </c:pt>
                <c:pt idx="58">
                  <c:v>5574.9091173470661</c:v>
                </c:pt>
                <c:pt idx="59">
                  <c:v>5562.5734864675178</c:v>
                </c:pt>
              </c:numCache>
            </c:numRef>
          </c:val>
          <c:smooth val="1"/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Model!$B$146:$BI$146</c:f>
              <c:numCache>
                <c:formatCode>General</c:formatCode>
                <c:ptCount val="60"/>
                <c:pt idx="0">
                  <c:v>4100</c:v>
                </c:pt>
                <c:pt idx="1">
                  <c:v>4200</c:v>
                </c:pt>
                <c:pt idx="2">
                  <c:v>4300</c:v>
                </c:pt>
                <c:pt idx="3">
                  <c:v>4400</c:v>
                </c:pt>
                <c:pt idx="4">
                  <c:v>4500</c:v>
                </c:pt>
                <c:pt idx="5">
                  <c:v>4600</c:v>
                </c:pt>
                <c:pt idx="6">
                  <c:v>4700</c:v>
                </c:pt>
                <c:pt idx="7">
                  <c:v>4800</c:v>
                </c:pt>
                <c:pt idx="8">
                  <c:v>4900</c:v>
                </c:pt>
                <c:pt idx="9">
                  <c:v>5000</c:v>
                </c:pt>
                <c:pt idx="10">
                  <c:v>5100</c:v>
                </c:pt>
                <c:pt idx="11">
                  <c:v>5200</c:v>
                </c:pt>
                <c:pt idx="12">
                  <c:v>5300</c:v>
                </c:pt>
                <c:pt idx="13">
                  <c:v>5400</c:v>
                </c:pt>
                <c:pt idx="14">
                  <c:v>5500</c:v>
                </c:pt>
                <c:pt idx="15">
                  <c:v>5600</c:v>
                </c:pt>
                <c:pt idx="16">
                  <c:v>5700</c:v>
                </c:pt>
                <c:pt idx="17">
                  <c:v>5800</c:v>
                </c:pt>
                <c:pt idx="18">
                  <c:v>5900</c:v>
                </c:pt>
                <c:pt idx="19">
                  <c:v>6000</c:v>
                </c:pt>
                <c:pt idx="20">
                  <c:v>6100</c:v>
                </c:pt>
                <c:pt idx="21">
                  <c:v>6200</c:v>
                </c:pt>
                <c:pt idx="22">
                  <c:v>6300</c:v>
                </c:pt>
                <c:pt idx="23">
                  <c:v>6400</c:v>
                </c:pt>
                <c:pt idx="24">
                  <c:v>6500</c:v>
                </c:pt>
                <c:pt idx="25">
                  <c:v>6600</c:v>
                </c:pt>
                <c:pt idx="26">
                  <c:v>6700</c:v>
                </c:pt>
                <c:pt idx="27">
                  <c:v>6800</c:v>
                </c:pt>
                <c:pt idx="28">
                  <c:v>6900</c:v>
                </c:pt>
                <c:pt idx="29">
                  <c:v>7000</c:v>
                </c:pt>
                <c:pt idx="30">
                  <c:v>7100</c:v>
                </c:pt>
                <c:pt idx="31">
                  <c:v>7200</c:v>
                </c:pt>
                <c:pt idx="32">
                  <c:v>7300</c:v>
                </c:pt>
                <c:pt idx="33">
                  <c:v>7400</c:v>
                </c:pt>
                <c:pt idx="34">
                  <c:v>7500</c:v>
                </c:pt>
                <c:pt idx="35">
                  <c:v>7600</c:v>
                </c:pt>
                <c:pt idx="36">
                  <c:v>7700</c:v>
                </c:pt>
                <c:pt idx="37">
                  <c:v>7800</c:v>
                </c:pt>
                <c:pt idx="38">
                  <c:v>7900</c:v>
                </c:pt>
                <c:pt idx="39">
                  <c:v>8000</c:v>
                </c:pt>
                <c:pt idx="40">
                  <c:v>8100</c:v>
                </c:pt>
                <c:pt idx="41">
                  <c:v>8200</c:v>
                </c:pt>
                <c:pt idx="42">
                  <c:v>8300</c:v>
                </c:pt>
                <c:pt idx="43">
                  <c:v>8400</c:v>
                </c:pt>
                <c:pt idx="44">
                  <c:v>8500</c:v>
                </c:pt>
                <c:pt idx="45">
                  <c:v>8600</c:v>
                </c:pt>
                <c:pt idx="46">
                  <c:v>8700</c:v>
                </c:pt>
                <c:pt idx="47">
                  <c:v>8800</c:v>
                </c:pt>
                <c:pt idx="48">
                  <c:v>8900</c:v>
                </c:pt>
                <c:pt idx="49">
                  <c:v>9000</c:v>
                </c:pt>
                <c:pt idx="50">
                  <c:v>9100</c:v>
                </c:pt>
                <c:pt idx="51">
                  <c:v>9200</c:v>
                </c:pt>
                <c:pt idx="52">
                  <c:v>9300</c:v>
                </c:pt>
                <c:pt idx="53">
                  <c:v>9400</c:v>
                </c:pt>
                <c:pt idx="54">
                  <c:v>9500</c:v>
                </c:pt>
                <c:pt idx="55">
                  <c:v>9600</c:v>
                </c:pt>
                <c:pt idx="56">
                  <c:v>9700</c:v>
                </c:pt>
                <c:pt idx="57">
                  <c:v>9800</c:v>
                </c:pt>
                <c:pt idx="58">
                  <c:v>9900</c:v>
                </c:pt>
                <c:pt idx="59">
                  <c:v>10000</c:v>
                </c:pt>
              </c:numCache>
            </c:numRef>
          </c:cat>
          <c:val>
            <c:numRef>
              <c:f>Model!$B$148:$BI$148</c:f>
              <c:numCache>
                <c:formatCode>General</c:formatCode>
                <c:ptCount val="60"/>
                <c:pt idx="0">
                  <c:v>8865.3217264610357</c:v>
                </c:pt>
                <c:pt idx="1">
                  <c:v>8864.054693834616</c:v>
                </c:pt>
                <c:pt idx="2">
                  <c:v>8862.7876612082255</c:v>
                </c:pt>
                <c:pt idx="3">
                  <c:v>8861.5206285818131</c:v>
                </c:pt>
                <c:pt idx="4">
                  <c:v>8860.2535959553861</c:v>
                </c:pt>
                <c:pt idx="5">
                  <c:v>8858.9865633289519</c:v>
                </c:pt>
                <c:pt idx="6">
                  <c:v>8857.7195307025468</c:v>
                </c:pt>
                <c:pt idx="7">
                  <c:v>8856.4524980761198</c:v>
                </c:pt>
                <c:pt idx="8">
                  <c:v>8855.185465449722</c:v>
                </c:pt>
                <c:pt idx="9">
                  <c:v>8853.918432823295</c:v>
                </c:pt>
                <c:pt idx="10">
                  <c:v>8852.6514001969044</c:v>
                </c:pt>
                <c:pt idx="11" formatCode="0">
                  <c:v>8851.3843675704702</c:v>
                </c:pt>
                <c:pt idx="12">
                  <c:v>8850.1173349440578</c:v>
                </c:pt>
                <c:pt idx="13">
                  <c:v>8848.8503023176308</c:v>
                </c:pt>
                <c:pt idx="14">
                  <c:v>8847.5832696912184</c:v>
                </c:pt>
                <c:pt idx="15">
                  <c:v>8846.3162370648133</c:v>
                </c:pt>
                <c:pt idx="16">
                  <c:v>8845.0492044383791</c:v>
                </c:pt>
                <c:pt idx="17">
                  <c:v>8843.7821718119885</c:v>
                </c:pt>
                <c:pt idx="18">
                  <c:v>8842.5151391855616</c:v>
                </c:pt>
                <c:pt idx="19">
                  <c:v>8841.2481065591637</c:v>
                </c:pt>
                <c:pt idx="20">
                  <c:v>8839.9810739327077</c:v>
                </c:pt>
                <c:pt idx="21">
                  <c:v>8838.7140413063025</c:v>
                </c:pt>
                <c:pt idx="22">
                  <c:v>8837.4470086799047</c:v>
                </c:pt>
                <c:pt idx="23">
                  <c:v>8836.1799760534632</c:v>
                </c:pt>
                <c:pt idx="24">
                  <c:v>8834.9129434270217</c:v>
                </c:pt>
                <c:pt idx="25">
                  <c:v>8833.6459108006457</c:v>
                </c:pt>
                <c:pt idx="26">
                  <c:v>8832.378878174226</c:v>
                </c:pt>
                <c:pt idx="27">
                  <c:v>8831.1118455477917</c:v>
                </c:pt>
                <c:pt idx="28">
                  <c:v>8829.8448129213939</c:v>
                </c:pt>
                <c:pt idx="29">
                  <c:v>8828.5777802949669</c:v>
                </c:pt>
                <c:pt idx="30">
                  <c:v>8827.3107476685764</c:v>
                </c:pt>
                <c:pt idx="31">
                  <c:v>8826.0437150421421</c:v>
                </c:pt>
                <c:pt idx="32">
                  <c:v>8824.7766824157297</c:v>
                </c:pt>
                <c:pt idx="33">
                  <c:v>8823.5096497893246</c:v>
                </c:pt>
                <c:pt idx="34">
                  <c:v>8822.2426171629049</c:v>
                </c:pt>
                <c:pt idx="35">
                  <c:v>8820.9755845364707</c:v>
                </c:pt>
                <c:pt idx="36">
                  <c:v>8819.7085519100801</c:v>
                </c:pt>
                <c:pt idx="37">
                  <c:v>8818.4415192836605</c:v>
                </c:pt>
                <c:pt idx="38">
                  <c:v>8817.1744866572262</c:v>
                </c:pt>
                <c:pt idx="39">
                  <c:v>8815.9074540308211</c:v>
                </c:pt>
                <c:pt idx="40">
                  <c:v>8814.6404214044014</c:v>
                </c:pt>
                <c:pt idx="41">
                  <c:v>8813.3733887780254</c:v>
                </c:pt>
                <c:pt idx="42">
                  <c:v>8812.1063561515766</c:v>
                </c:pt>
                <c:pt idx="43">
                  <c:v>8810.8393235251278</c:v>
                </c:pt>
                <c:pt idx="44">
                  <c:v>8809.5722908987082</c:v>
                </c:pt>
                <c:pt idx="45">
                  <c:v>8808.3052582723467</c:v>
                </c:pt>
                <c:pt idx="46">
                  <c:v>8807.0382256458834</c:v>
                </c:pt>
                <c:pt idx="47">
                  <c:v>8805.7711930195073</c:v>
                </c:pt>
                <c:pt idx="48">
                  <c:v>8804.5041603930586</c:v>
                </c:pt>
                <c:pt idx="49">
                  <c:v>8803.237127766668</c:v>
                </c:pt>
                <c:pt idx="50">
                  <c:v>8801.9700951402483</c:v>
                </c:pt>
                <c:pt idx="51">
                  <c:v>8800.7030625138432</c:v>
                </c:pt>
                <c:pt idx="52">
                  <c:v>8799.4360298873798</c:v>
                </c:pt>
                <c:pt idx="53">
                  <c:v>8798.1689972609747</c:v>
                </c:pt>
                <c:pt idx="54">
                  <c:v>8796.9019646345696</c:v>
                </c:pt>
                <c:pt idx="55">
                  <c:v>8795.6349320081354</c:v>
                </c:pt>
                <c:pt idx="56">
                  <c:v>8794.3678993817448</c:v>
                </c:pt>
                <c:pt idx="57">
                  <c:v>8793.1008667553251</c:v>
                </c:pt>
                <c:pt idx="58">
                  <c:v>8791.8338341289345</c:v>
                </c:pt>
                <c:pt idx="59">
                  <c:v>8790.5668015025003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04704"/>
        <c:axId val="126106624"/>
      </c:lineChart>
      <c:catAx>
        <c:axId val="12610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Direct cost of state C (AIDS)</a:t>
                </a:r>
              </a:p>
            </c:rich>
          </c:tx>
          <c:layout>
            <c:manualLayout>
              <c:xMode val="edge"/>
              <c:yMode val="edge"/>
              <c:x val="0.37331955452925158"/>
              <c:y val="0.93389832952616059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£&quot;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6106624"/>
        <c:crosses val="autoZero"/>
        <c:auto val="0"/>
        <c:lblAlgn val="ctr"/>
        <c:lblOffset val="100"/>
        <c:tickLblSkip val="5"/>
        <c:tickMarkSkip val="1"/>
        <c:noMultiLvlLbl val="0"/>
      </c:catAx>
      <c:valAx>
        <c:axId val="126106624"/>
        <c:scaling>
          <c:orientation val="minMax"/>
          <c:min val="50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Expected Incremental cost </a:t>
                </a:r>
              </a:p>
            </c:rich>
          </c:tx>
          <c:layout>
            <c:manualLayout>
              <c:xMode val="edge"/>
              <c:yMode val="edge"/>
              <c:x val="1.0341269718895457E-2"/>
              <c:y val="0.31694922707360068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£&quot;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6104704"/>
        <c:crosses val="autoZero"/>
        <c:crossBetween val="midCat"/>
      </c:valAx>
      <c:spPr>
        <a:noFill/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050682462013906"/>
          <c:y val="0.10116731517509728"/>
          <c:w val="0.72995930981200108"/>
          <c:h val="0.63035019455252916"/>
        </c:manualLayout>
      </c:layout>
      <c:lineChart>
        <c:grouping val="standard"/>
        <c:varyColors val="0"/>
        <c:ser>
          <c:idx val="0"/>
          <c:order val="0"/>
          <c:tx>
            <c:v>Incremental cost per life-year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'Scenario Summary'!$E$6:$I$6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cat>
          <c:val>
            <c:numRef>
              <c:f>'Scenario Summary'!$E$6:$I$6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val>
          <c:smooth val="0"/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'Scenario Summary'!$E$6:$I$6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cat>
          <c:val>
            <c:numRef>
              <c:f>'Scenario Summary'!$E$7:$I$7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'Scenario Summary'!$E$6:$I$6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cat>
          <c:val>
            <c:numRef>
              <c:f>'Scenario Summary'!$E$8:$I$8</c:f>
              <c:numCache>
                <c:formatCode>"£"#,##0</c:formatCode>
                <c:ptCount val="5"/>
                <c:pt idx="0">
                  <c:v>4969.32009968895</c:v>
                </c:pt>
                <c:pt idx="1">
                  <c:v>5618.8706557983196</c:v>
                </c:pt>
                <c:pt idx="2">
                  <c:v>6655.4904978483401</c:v>
                </c:pt>
                <c:pt idx="3">
                  <c:v>8660.1157760915903</c:v>
                </c:pt>
                <c:pt idx="4">
                  <c:v>14537.4229797876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53856"/>
        <c:axId val="126155776"/>
      </c:lineChart>
      <c:catAx>
        <c:axId val="12615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Relative risk of progression</a:t>
                </a:r>
              </a:p>
            </c:rich>
          </c:tx>
          <c:layout>
            <c:manualLayout>
              <c:xMode val="edge"/>
              <c:yMode val="edge"/>
              <c:x val="0.41983214954998471"/>
              <c:y val="0.85214022665771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6155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155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Incremental cost per life-year gained</a:t>
                </a:r>
              </a:p>
            </c:rich>
          </c:tx>
          <c:layout>
            <c:manualLayout>
              <c:xMode val="edge"/>
              <c:yMode val="edge"/>
              <c:x val="3.3755330455447347E-2"/>
              <c:y val="4.669270992288755E-2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£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615385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/>
  </sheetViews>
  <pageMargins left="0.75" right="0.75" top="1" bottom="1" header="0.5" footer="0.5"/>
  <pageSetup paperSize="9" orientation="landscape" r:id="rId1"/>
  <headerFooter alignWithMargins="0">
    <oddHeader>&amp;A</oddHeader>
    <oddFooter>Page &amp;P</oddFooter>
  </headerFooter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0</xdr:row>
      <xdr:rowOff>129540</xdr:rowOff>
    </xdr:from>
    <xdr:to>
      <xdr:col>12</xdr:col>
      <xdr:colOff>38100</xdr:colOff>
      <xdr:row>31</xdr:row>
      <xdr:rowOff>53340</xdr:rowOff>
    </xdr:to>
    <xdr:grpSp>
      <xdr:nvGrpSpPr>
        <xdr:cNvPr id="1195" name="Group 22"/>
        <xdr:cNvGrpSpPr>
          <a:grpSpLocks/>
        </xdr:cNvGrpSpPr>
      </xdr:nvGrpSpPr>
      <xdr:grpSpPr bwMode="auto">
        <a:xfrm>
          <a:off x="1050175" y="129540"/>
          <a:ext cx="6469380" cy="5077691"/>
          <a:chOff x="108" y="13"/>
          <a:chExt cx="664" cy="519"/>
        </a:xfrm>
      </xdr:grpSpPr>
      <xdr:sp macro="" textlink="">
        <xdr:nvSpPr>
          <xdr:cNvPr id="1026" name="Text 34"/>
          <xdr:cNvSpPr txBox="1">
            <a:spLocks noChangeArrowheads="1"/>
          </xdr:cNvSpPr>
        </xdr:nvSpPr>
        <xdr:spPr bwMode="auto">
          <a:xfrm>
            <a:off x="632" y="310"/>
            <a:ext cx="140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C0" mc:Ignorable="a14" a14:legacySpreadsheetColorIndex="26"/>
          </a:solidFill>
          <a:ln w="1714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endParaRPr lang="es-ES" sz="1200" b="1" i="0" u="none" strike="noStrike" baseline="0">
              <a:solidFill>
                <a:srgbClr val="000080"/>
              </a:solidFill>
              <a:latin typeface="Arial Rounded MT Bold"/>
            </a:endParaRPr>
          </a:p>
          <a:p>
            <a:pPr algn="ctr" rtl="0">
              <a:defRPr sz="1000"/>
            </a:pPr>
            <a:r>
              <a:rPr lang="es-ES" sz="1200" b="1" i="0" u="none" strike="noStrike" baseline="0">
                <a:solidFill>
                  <a:srgbClr val="000080"/>
                </a:solidFill>
                <a:latin typeface="Arial Rounded MT Bold"/>
              </a:rPr>
              <a:t>Death</a:t>
            </a:r>
            <a:endParaRPr lang="es-ES"/>
          </a:p>
        </xdr:txBody>
      </xdr:sp>
      <xdr:sp macro="" textlink="">
        <xdr:nvSpPr>
          <xdr:cNvPr id="1197" name="Oval 3"/>
          <xdr:cNvSpPr>
            <a:spLocks noChangeArrowheads="1"/>
          </xdr:cNvSpPr>
        </xdr:nvSpPr>
        <xdr:spPr bwMode="auto">
          <a:xfrm>
            <a:off x="108" y="51"/>
            <a:ext cx="64" cy="36"/>
          </a:xfrm>
          <a:prstGeom prst="ellips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198" name="Oval 4"/>
          <xdr:cNvSpPr>
            <a:spLocks noChangeArrowheads="1"/>
          </xdr:cNvSpPr>
        </xdr:nvSpPr>
        <xdr:spPr bwMode="auto">
          <a:xfrm>
            <a:off x="152" y="13"/>
            <a:ext cx="192" cy="107"/>
          </a:xfrm>
          <a:prstGeom prst="ellipse">
            <a:avLst/>
          </a:prstGeom>
          <a:pattFill prst="pct25">
            <a:fgClr>
              <a:srgbClr xmlns:mc="http://schemas.openxmlformats.org/markup-compatibility/2006" xmlns:a14="http://schemas.microsoft.com/office/drawing/2010/main" val="FFFFC0" mc:Ignorable="a14" a14:legacySpreadsheetColorIndex="26"/>
            </a:fgClr>
            <a:bgClr>
              <a:srgbClr xmlns:mc="http://schemas.openxmlformats.org/markup-compatibility/2006" xmlns:a14="http://schemas.microsoft.com/office/drawing/2010/main" val="FFFFC0" mc:Ignorable="a14" a14:legacySpreadsheetColorIndex="26"/>
            </a:bgClr>
          </a:pattFill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/>
          </a:ln>
        </xdr:spPr>
      </xdr:sp>
      <xdr:sp macro="" textlink="">
        <xdr:nvSpPr>
          <xdr:cNvPr id="1199" name="Line 5"/>
          <xdr:cNvSpPr>
            <a:spLocks noChangeShapeType="1"/>
          </xdr:cNvSpPr>
        </xdr:nvSpPr>
        <xdr:spPr bwMode="auto">
          <a:xfrm flipV="1">
            <a:off x="121" y="50"/>
            <a:ext cx="19" cy="4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Text 32"/>
          <xdr:cNvSpPr txBox="1">
            <a:spLocks noChangeArrowheads="1"/>
          </xdr:cNvSpPr>
        </xdr:nvSpPr>
        <xdr:spPr bwMode="auto">
          <a:xfrm>
            <a:off x="178" y="33"/>
            <a:ext cx="135" cy="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C0" mc:Ignorable="a14" a14:legacySpreadsheetColorIndex="26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s-ES" sz="1200" b="1" i="0" u="none" strike="noStrike" baseline="0">
                <a:solidFill>
                  <a:srgbClr val="000080"/>
                </a:solidFill>
                <a:latin typeface="Arial Rounded MT Bold"/>
              </a:rPr>
              <a:t>State A</a:t>
            </a:r>
          </a:p>
          <a:p>
            <a:pPr algn="ctr" rtl="0">
              <a:defRPr sz="1000"/>
            </a:pPr>
            <a:r>
              <a:rPr lang="es-ES" sz="1200" b="1" i="0" u="none" strike="noStrike" baseline="0">
                <a:solidFill>
                  <a:srgbClr val="000080"/>
                </a:solidFill>
                <a:latin typeface="Arial Rounded MT Bold"/>
              </a:rPr>
              <a:t> 200 &lt; cd4 &lt; 500 cells/mm</a:t>
            </a:r>
            <a:r>
              <a:rPr lang="es-ES" sz="1200" b="1" i="0" u="none" strike="noStrike" baseline="30000">
                <a:solidFill>
                  <a:srgbClr val="000080"/>
                </a:solidFill>
                <a:latin typeface="Arial Rounded MT Bold"/>
              </a:rPr>
              <a:t>3</a:t>
            </a:r>
            <a:endParaRPr lang="es-ES"/>
          </a:p>
        </xdr:txBody>
      </xdr:sp>
      <xdr:sp macro="" textlink="">
        <xdr:nvSpPr>
          <xdr:cNvPr id="1201" name="Line 7"/>
          <xdr:cNvSpPr>
            <a:spLocks noChangeShapeType="1"/>
          </xdr:cNvSpPr>
        </xdr:nvSpPr>
        <xdr:spPr bwMode="auto">
          <a:xfrm>
            <a:off x="319" y="112"/>
            <a:ext cx="42" cy="122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02" name="Group 8"/>
          <xdr:cNvGrpSpPr>
            <a:grpSpLocks/>
          </xdr:cNvGrpSpPr>
        </xdr:nvGrpSpPr>
        <xdr:grpSpPr bwMode="auto">
          <a:xfrm>
            <a:off x="283" y="228"/>
            <a:ext cx="236" cy="119"/>
            <a:chOff x="5660000" y="4360000"/>
            <a:chExt cx="4720000" cy="2040000"/>
          </a:xfrm>
        </xdr:grpSpPr>
        <xdr:sp macro="" textlink="">
          <xdr:nvSpPr>
            <xdr:cNvPr id="1212" name="Oval 9"/>
            <xdr:cNvSpPr>
              <a:spLocks noChangeArrowheads="1"/>
            </xdr:cNvSpPr>
          </xdr:nvSpPr>
          <xdr:spPr bwMode="auto">
            <a:xfrm>
              <a:off x="5660000" y="5080000"/>
              <a:ext cx="1280000" cy="680000"/>
            </a:xfrm>
            <a:prstGeom prst="ellipse">
              <a:avLst/>
            </a:prstGeom>
            <a:noFill/>
            <a:ln w="24765">
              <a:solidFill>
                <a:srgbClr xmlns:mc="http://schemas.openxmlformats.org/markup-compatibility/2006" xmlns:a14="http://schemas.microsoft.com/office/drawing/2010/main" val="808000" mc:Ignorable="a14" a14:legacySpreadsheetColorIndex="19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000000" mc:Ignorable="a14" a14:legacySpreadsheetColorIndex="64"/>
                  </a:solidFill>
                </a14:hiddenFill>
              </a:ext>
            </a:extLst>
          </xdr:spPr>
        </xdr:sp>
        <xdr:sp macro="" textlink="">
          <xdr:nvSpPr>
            <xdr:cNvPr id="1213" name="Oval 10"/>
            <xdr:cNvSpPr>
              <a:spLocks noChangeArrowheads="1"/>
            </xdr:cNvSpPr>
          </xdr:nvSpPr>
          <xdr:spPr bwMode="auto">
            <a:xfrm>
              <a:off x="6540000" y="4360000"/>
              <a:ext cx="3840000" cy="2040000"/>
            </a:xfrm>
            <a:prstGeom prst="ellipse">
              <a:avLst/>
            </a:prstGeom>
            <a:pattFill prst="pct25">
              <a:fgClr>
                <a:srgbClr xmlns:mc="http://schemas.openxmlformats.org/markup-compatibility/2006" xmlns:a14="http://schemas.microsoft.com/office/drawing/2010/main" val="FFFFC0" mc:Ignorable="a14" a14:legacySpreadsheetColorIndex="26"/>
              </a:fgClr>
              <a:bgClr>
                <a:srgbClr xmlns:mc="http://schemas.openxmlformats.org/markup-compatibility/2006" xmlns:a14="http://schemas.microsoft.com/office/drawing/2010/main" val="FFFFC0" mc:Ignorable="a14" a14:legacySpreadsheetColorIndex="26"/>
              </a:bgClr>
            </a:pattFill>
            <a:ln w="24765">
              <a:solidFill>
                <a:srgbClr xmlns:mc="http://schemas.openxmlformats.org/markup-compatibility/2006" xmlns:a14="http://schemas.microsoft.com/office/drawing/2010/main" val="808000" mc:Ignorable="a14" a14:legacySpreadsheetColorIndex="19"/>
              </a:solidFill>
              <a:round/>
              <a:headEnd/>
              <a:tailEnd/>
            </a:ln>
          </xdr:spPr>
        </xdr:sp>
        <xdr:sp macro="" textlink="">
          <xdr:nvSpPr>
            <xdr:cNvPr id="1214" name="Line 11"/>
            <xdr:cNvSpPr>
              <a:spLocks noChangeShapeType="1"/>
            </xdr:cNvSpPr>
          </xdr:nvSpPr>
          <xdr:spPr bwMode="auto">
            <a:xfrm flipV="1">
              <a:off x="5920000" y="5060000"/>
              <a:ext cx="380000" cy="80000"/>
            </a:xfrm>
            <a:prstGeom prst="line">
              <a:avLst/>
            </a:prstGeom>
            <a:noFill/>
            <a:ln w="24765">
              <a:solidFill>
                <a:srgbClr xmlns:mc="http://schemas.openxmlformats.org/markup-compatibility/2006" xmlns:a14="http://schemas.microsoft.com/office/drawing/2010/main" val="808000" mc:Ignorable="a14" a14:legacySpreadsheetColorIndex="19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6" name="Text 32"/>
            <xdr:cNvSpPr txBox="1">
              <a:spLocks noChangeArrowheads="1"/>
            </xdr:cNvSpPr>
          </xdr:nvSpPr>
          <xdr:spPr bwMode="auto">
            <a:xfrm>
              <a:off x="7060023" y="4725663"/>
              <a:ext cx="2699694" cy="12975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C0" mc:Ignorable="a14" a14:legacySpreadsheetColorIndex="2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1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es-ES" sz="1200" b="1" i="0" u="none" strike="noStrike" baseline="0">
                  <a:solidFill>
                    <a:srgbClr val="000080"/>
                  </a:solidFill>
                  <a:latin typeface="Arial Rounded MT Bold"/>
                </a:rPr>
                <a:t>State B</a:t>
              </a:r>
            </a:p>
            <a:p>
              <a:pPr algn="ctr" rtl="0">
                <a:defRPr sz="1000"/>
              </a:pPr>
              <a:r>
                <a:rPr lang="es-ES" sz="1200" b="1" i="0" u="none" strike="noStrike" baseline="0">
                  <a:solidFill>
                    <a:srgbClr val="000080"/>
                  </a:solidFill>
                  <a:latin typeface="Arial Rounded MT Bold"/>
                </a:rPr>
                <a:t> cd4 &lt; 200 cells/mm</a:t>
              </a:r>
              <a:r>
                <a:rPr lang="es-ES" sz="1200" b="1" i="0" u="none" strike="noStrike" baseline="30000">
                  <a:solidFill>
                    <a:srgbClr val="000080"/>
                  </a:solidFill>
                  <a:latin typeface="Arial Rounded MT Bold"/>
                </a:rPr>
                <a:t>3</a:t>
              </a:r>
              <a:endParaRPr lang="es-ES"/>
            </a:p>
          </xdr:txBody>
        </xdr:sp>
      </xdr:grpSp>
      <xdr:sp macro="" textlink="">
        <xdr:nvSpPr>
          <xdr:cNvPr id="1203" name="Line 13"/>
          <xdr:cNvSpPr>
            <a:spLocks noChangeShapeType="1"/>
          </xdr:cNvSpPr>
        </xdr:nvSpPr>
        <xdr:spPr bwMode="auto">
          <a:xfrm>
            <a:off x="255" y="128"/>
            <a:ext cx="0" cy="316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4" name="Oval 14"/>
          <xdr:cNvSpPr>
            <a:spLocks noChangeArrowheads="1"/>
          </xdr:cNvSpPr>
        </xdr:nvSpPr>
        <xdr:spPr bwMode="auto">
          <a:xfrm>
            <a:off x="122" y="490"/>
            <a:ext cx="64" cy="36"/>
          </a:xfrm>
          <a:prstGeom prst="ellips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1205" name="Oval 15"/>
          <xdr:cNvSpPr>
            <a:spLocks noChangeArrowheads="1"/>
          </xdr:cNvSpPr>
        </xdr:nvSpPr>
        <xdr:spPr bwMode="auto">
          <a:xfrm>
            <a:off x="166" y="452"/>
            <a:ext cx="192" cy="80"/>
          </a:xfrm>
          <a:prstGeom prst="ellipse">
            <a:avLst/>
          </a:prstGeom>
          <a:pattFill prst="pct25">
            <a:fgClr>
              <a:srgbClr xmlns:mc="http://schemas.openxmlformats.org/markup-compatibility/2006" xmlns:a14="http://schemas.microsoft.com/office/drawing/2010/main" val="FFFFC0" mc:Ignorable="a14" a14:legacySpreadsheetColorIndex="26"/>
            </a:fgClr>
            <a:bgClr>
              <a:srgbClr xmlns:mc="http://schemas.openxmlformats.org/markup-compatibility/2006" xmlns:a14="http://schemas.microsoft.com/office/drawing/2010/main" val="FFFFC0" mc:Ignorable="a14" a14:legacySpreadsheetColorIndex="26"/>
            </a:bgClr>
          </a:pattFill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/>
          </a:ln>
        </xdr:spPr>
      </xdr:sp>
      <xdr:sp macro="" textlink="">
        <xdr:nvSpPr>
          <xdr:cNvPr id="1206" name="Line 16"/>
          <xdr:cNvSpPr>
            <a:spLocks noChangeShapeType="1"/>
          </xdr:cNvSpPr>
        </xdr:nvSpPr>
        <xdr:spPr bwMode="auto">
          <a:xfrm flipV="1">
            <a:off x="135" y="489"/>
            <a:ext cx="19" cy="4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Text 40"/>
          <xdr:cNvSpPr txBox="1">
            <a:spLocks noChangeArrowheads="1"/>
          </xdr:cNvSpPr>
        </xdr:nvSpPr>
        <xdr:spPr bwMode="auto">
          <a:xfrm>
            <a:off x="192" y="467"/>
            <a:ext cx="126" cy="4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C0" mc:Ignorable="a14" a14:legacySpreadsheetColorIndex="26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s-ES" sz="1200" b="1" i="0" u="none" strike="noStrike" baseline="0">
                <a:solidFill>
                  <a:srgbClr val="000080"/>
                </a:solidFill>
                <a:latin typeface="Arial Rounded MT Bold"/>
              </a:rPr>
              <a:t>State C</a:t>
            </a:r>
          </a:p>
          <a:p>
            <a:pPr algn="ctr" rtl="0">
              <a:defRPr sz="1000"/>
            </a:pPr>
            <a:r>
              <a:rPr lang="es-ES" sz="1200" b="1" i="0" u="none" strike="noStrike" baseline="0">
                <a:solidFill>
                  <a:srgbClr val="000080"/>
                </a:solidFill>
                <a:latin typeface="Arial Rounded MT Bold"/>
              </a:rPr>
              <a:t>AIDS</a:t>
            </a:r>
            <a:endParaRPr lang="es-ES"/>
          </a:p>
        </xdr:txBody>
      </xdr:sp>
      <xdr:sp macro="" textlink="">
        <xdr:nvSpPr>
          <xdr:cNvPr id="1208" name="Line 18"/>
          <xdr:cNvSpPr>
            <a:spLocks noChangeShapeType="1"/>
          </xdr:cNvSpPr>
        </xdr:nvSpPr>
        <xdr:spPr bwMode="auto">
          <a:xfrm>
            <a:off x="351" y="73"/>
            <a:ext cx="280" cy="228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9" name="Line 19"/>
          <xdr:cNvSpPr>
            <a:spLocks noChangeShapeType="1"/>
          </xdr:cNvSpPr>
        </xdr:nvSpPr>
        <xdr:spPr bwMode="auto">
          <a:xfrm>
            <a:off x="523" y="296"/>
            <a:ext cx="103" cy="33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0" name="Line 20"/>
          <xdr:cNvSpPr>
            <a:spLocks noChangeShapeType="1"/>
          </xdr:cNvSpPr>
        </xdr:nvSpPr>
        <xdr:spPr bwMode="auto">
          <a:xfrm flipV="1">
            <a:off x="362" y="357"/>
            <a:ext cx="264" cy="128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1" name="Line 21"/>
          <xdr:cNvSpPr>
            <a:spLocks noChangeShapeType="1"/>
          </xdr:cNvSpPr>
        </xdr:nvSpPr>
        <xdr:spPr bwMode="auto">
          <a:xfrm flipH="1">
            <a:off x="322" y="331"/>
            <a:ext cx="46" cy="123"/>
          </a:xfrm>
          <a:prstGeom prst="line">
            <a:avLst/>
          </a:prstGeom>
          <a:noFill/>
          <a:ln w="24765">
            <a:solidFill>
              <a:srgbClr xmlns:mc="http://schemas.openxmlformats.org/markup-compatibility/2006" xmlns:a14="http://schemas.microsoft.com/office/drawing/2010/main" val="808000" mc:Ignorable="a14" a14:legacySpreadsheetColorIndex="19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01368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716280</xdr:colOff>
      <xdr:row>12</xdr:row>
      <xdr:rowOff>30480</xdr:rowOff>
    </xdr:from>
    <xdr:to>
      <xdr:col>8</xdr:col>
      <xdr:colOff>853440</xdr:colOff>
      <xdr:row>27</xdr:row>
      <xdr:rowOff>53340</xdr:rowOff>
    </xdr:to>
    <xdr:graphicFrame macro="">
      <xdr:nvGraphicFramePr>
        <xdr:cNvPr id="3082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workbookViewId="0"/>
  </sheetViews>
  <sheetFormatPr baseColWidth="10" defaultColWidth="9.109375" defaultRowHeight="13.2" x14ac:dyDescent="0.25"/>
  <sheetData/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403"/>
  <sheetViews>
    <sheetView topLeftCell="A13" zoomScale="75" workbookViewId="0">
      <selection activeCell="G32" sqref="G32"/>
    </sheetView>
  </sheetViews>
  <sheetFormatPr baseColWidth="10" defaultColWidth="9.109375" defaultRowHeight="13.2" x14ac:dyDescent="0.25"/>
  <cols>
    <col min="1" max="1" width="35.5546875" customWidth="1"/>
    <col min="2" max="2" width="14.44140625" bestFit="1" customWidth="1"/>
    <col min="3" max="3" width="12.5546875" customWidth="1"/>
    <col min="4" max="4" width="13" customWidth="1"/>
    <col min="5" max="5" width="31.5546875" customWidth="1"/>
    <col min="6" max="6" width="15" customWidth="1"/>
    <col min="7" max="7" width="12.109375" customWidth="1"/>
    <col min="8" max="8" width="15.33203125" customWidth="1"/>
    <col min="9" max="9" width="26" customWidth="1"/>
    <col min="10" max="10" width="15.109375" customWidth="1"/>
    <col min="11" max="11" width="15.44140625" customWidth="1"/>
    <col min="12" max="12" width="12" customWidth="1"/>
    <col min="13" max="13" width="9.109375" customWidth="1"/>
    <col min="14" max="14" width="15.88671875" customWidth="1"/>
  </cols>
  <sheetData>
    <row r="1" spans="1:7" ht="15.6" x14ac:dyDescent="0.3">
      <c r="A1" s="33" t="s">
        <v>0</v>
      </c>
      <c r="B1" s="14"/>
      <c r="C1" s="14"/>
      <c r="E1" s="49"/>
      <c r="F1" s="49"/>
    </row>
    <row r="2" spans="1:7" ht="9" customHeight="1" thickBot="1" x14ac:dyDescent="0.3">
      <c r="A2" s="14"/>
      <c r="B2" s="14"/>
      <c r="C2" s="14"/>
    </row>
    <row r="3" spans="1:7" x14ac:dyDescent="0.25">
      <c r="A3" s="39"/>
      <c r="B3" s="40" t="s">
        <v>1</v>
      </c>
      <c r="C3" s="40" t="s">
        <v>2</v>
      </c>
      <c r="E3" s="9"/>
      <c r="F3" s="50"/>
    </row>
    <row r="4" spans="1:7" x14ac:dyDescent="0.25">
      <c r="A4" s="29" t="s">
        <v>3</v>
      </c>
      <c r="B4" s="30">
        <f>L101</f>
        <v>44613.850822135435</v>
      </c>
      <c r="C4" s="30">
        <f>L129</f>
        <v>50552.907763046351</v>
      </c>
      <c r="E4" s="30"/>
      <c r="F4" s="53"/>
      <c r="G4" s="9"/>
    </row>
    <row r="5" spans="1:7" x14ac:dyDescent="0.25">
      <c r="A5" s="29" t="s">
        <v>4</v>
      </c>
      <c r="B5" s="31">
        <f>IF(lcc=1,I101,+J101)</f>
        <v>7.9474434917670251</v>
      </c>
      <c r="C5" s="31">
        <f>IF(lcc=1,I129,+J129)</f>
        <v>8.7229011477090541</v>
      </c>
      <c r="E5" s="30"/>
      <c r="F5" s="53"/>
      <c r="G5" s="51"/>
    </row>
    <row r="6" spans="1:7" x14ac:dyDescent="0.25">
      <c r="A6" s="29" t="s">
        <v>5</v>
      </c>
      <c r="B6" s="31"/>
      <c r="C6" s="31">
        <f>C4-B4</f>
        <v>5939.0569409109157</v>
      </c>
      <c r="E6" s="9"/>
      <c r="F6" s="9"/>
    </row>
    <row r="7" spans="1:7" x14ac:dyDescent="0.25">
      <c r="A7" s="29" t="s">
        <v>6</v>
      </c>
      <c r="B7" s="31"/>
      <c r="C7" s="48">
        <f>C5-B5</f>
        <v>0.77545765594202898</v>
      </c>
      <c r="E7" s="9"/>
      <c r="F7" s="50"/>
    </row>
    <row r="8" spans="1:7" ht="13.8" thickBot="1" x14ac:dyDescent="0.3">
      <c r="A8" s="41" t="s">
        <v>7</v>
      </c>
      <c r="B8" s="21"/>
      <c r="C8" s="27">
        <f>C6/C7</f>
        <v>7658.7765887695396</v>
      </c>
      <c r="E8" s="9"/>
      <c r="F8" s="50"/>
    </row>
    <row r="9" spans="1:7" x14ac:dyDescent="0.25">
      <c r="A9" s="14"/>
      <c r="B9" s="14"/>
      <c r="C9" s="14"/>
      <c r="E9" s="9"/>
      <c r="F9" s="50"/>
    </row>
    <row r="10" spans="1:7" x14ac:dyDescent="0.25">
      <c r="A10" s="14"/>
      <c r="B10" s="14"/>
      <c r="C10" s="14"/>
      <c r="E10" s="9"/>
      <c r="F10" s="50"/>
    </row>
    <row r="11" spans="1:7" x14ac:dyDescent="0.25">
      <c r="A11" s="14"/>
      <c r="B11" s="14"/>
      <c r="C11" s="14"/>
      <c r="E11" s="9"/>
      <c r="F11" s="50"/>
    </row>
    <row r="12" spans="1:7" x14ac:dyDescent="0.25">
      <c r="A12" s="14"/>
      <c r="B12" s="14"/>
      <c r="C12" s="14"/>
      <c r="E12" s="9"/>
      <c r="F12" s="50"/>
    </row>
    <row r="13" spans="1:7" ht="8.25" customHeight="1" x14ac:dyDescent="0.25">
      <c r="A13" s="14"/>
      <c r="B13" s="14"/>
      <c r="C13" s="14"/>
    </row>
    <row r="14" spans="1:7" ht="15.6" x14ac:dyDescent="0.3">
      <c r="A14" s="34" t="s">
        <v>8</v>
      </c>
    </row>
    <row r="15" spans="1:7" ht="9" customHeight="1" x14ac:dyDescent="0.3">
      <c r="A15" s="34"/>
    </row>
    <row r="16" spans="1:7" ht="12.75" customHeight="1" x14ac:dyDescent="0.25">
      <c r="A16" s="1" t="s">
        <v>9</v>
      </c>
      <c r="E16" s="1"/>
    </row>
    <row r="17" spans="1:11" ht="9" customHeight="1" x14ac:dyDescent="0.25">
      <c r="A17" s="14"/>
      <c r="B17" s="14"/>
      <c r="C17" s="14"/>
    </row>
    <row r="18" spans="1:11" x14ac:dyDescent="0.25">
      <c r="A18" s="54" t="s">
        <v>10</v>
      </c>
      <c r="B18" s="54" t="s">
        <v>11</v>
      </c>
      <c r="C18" s="54" t="s">
        <v>102</v>
      </c>
      <c r="D18" s="54" t="s">
        <v>102</v>
      </c>
    </row>
    <row r="19" spans="1:11" x14ac:dyDescent="0.25">
      <c r="A19" s="7"/>
      <c r="B19" s="7"/>
      <c r="C19" s="7" t="s">
        <v>103</v>
      </c>
      <c r="D19" s="7" t="s">
        <v>104</v>
      </c>
      <c r="F19" t="s">
        <v>122</v>
      </c>
      <c r="G19" t="s">
        <v>94</v>
      </c>
      <c r="H19" t="s">
        <v>95</v>
      </c>
      <c r="I19" t="s">
        <v>96</v>
      </c>
      <c r="J19" t="s">
        <v>120</v>
      </c>
      <c r="K19" t="s">
        <v>121</v>
      </c>
    </row>
    <row r="20" spans="1:11" x14ac:dyDescent="0.25">
      <c r="A20" t="s">
        <v>13</v>
      </c>
      <c r="B20" s="4" t="s">
        <v>14</v>
      </c>
      <c r="C20">
        <v>0.72099999999999997</v>
      </c>
      <c r="D20">
        <f>1-D21-D22-D23</f>
        <v>0.857989</v>
      </c>
      <c r="F20" s="4"/>
      <c r="G20">
        <f xml:space="preserve"> TP_A_A+TP_B_A+TP_C_A</f>
        <v>0.72099999999999997</v>
      </c>
      <c r="H20">
        <f>TP_A_B+TP_B_B+TP_C_B</f>
        <v>0.78299999999999992</v>
      </c>
      <c r="I20">
        <f>TP_A_C+TP_B_C+TP_C_C</f>
        <v>1.224</v>
      </c>
      <c r="K20">
        <f xml:space="preserve"> BTP_A_D+H20+I20</f>
        <v>2.7279999999999998</v>
      </c>
    </row>
    <row r="21" spans="1:11" x14ac:dyDescent="0.25">
      <c r="A21" t="s">
        <v>15</v>
      </c>
      <c r="B21" s="4" t="s">
        <v>16</v>
      </c>
      <c r="C21">
        <v>0.20200000000000001</v>
      </c>
      <c r="D21">
        <f>C21*$C$67</f>
        <v>0.10281800000000001</v>
      </c>
      <c r="F21" s="4"/>
      <c r="G21" s="47"/>
    </row>
    <row r="22" spans="1:11" x14ac:dyDescent="0.25">
      <c r="A22" t="s">
        <v>17</v>
      </c>
      <c r="B22" s="4" t="s">
        <v>18</v>
      </c>
      <c r="C22">
        <v>6.6999999999999935E-2</v>
      </c>
      <c r="D22">
        <f>C22*$C$67</f>
        <v>3.4102999999999967E-2</v>
      </c>
      <c r="F22" s="4"/>
      <c r="G22" s="47"/>
    </row>
    <row r="23" spans="1:11" x14ac:dyDescent="0.25">
      <c r="A23" t="s">
        <v>19</v>
      </c>
      <c r="B23" s="4" t="s">
        <v>20</v>
      </c>
      <c r="C23">
        <v>0.01</v>
      </c>
      <c r="D23">
        <f>C23*$C$67</f>
        <v>5.0899999999999999E-3</v>
      </c>
      <c r="F23" t="s">
        <v>123</v>
      </c>
      <c r="G23" t="s">
        <v>94</v>
      </c>
      <c r="H23" t="s">
        <v>95</v>
      </c>
      <c r="I23" t="s">
        <v>96</v>
      </c>
    </row>
    <row r="24" spans="1:11" x14ac:dyDescent="0.25">
      <c r="G24">
        <f>D20+D25+D30</f>
        <v>0.857989</v>
      </c>
      <c r="H24">
        <f xml:space="preserve"> D21+D26+D31</f>
        <v>0.88954699999999998</v>
      </c>
      <c r="I24">
        <f>D27+D32+D22</f>
        <v>1.1140160000000001</v>
      </c>
      <c r="K24">
        <f>BTP_A_BNAND+H24+I24</f>
        <v>2.8615520000000001</v>
      </c>
    </row>
    <row r="25" spans="1:11" x14ac:dyDescent="0.25">
      <c r="A25" t="s">
        <v>21</v>
      </c>
      <c r="B25" s="4" t="s">
        <v>22</v>
      </c>
      <c r="C25">
        <v>0</v>
      </c>
      <c r="F25" s="4"/>
      <c r="G25" s="47"/>
      <c r="H25" s="5"/>
    </row>
    <row r="26" spans="1:11" x14ac:dyDescent="0.25">
      <c r="A26" t="s">
        <v>23</v>
      </c>
      <c r="B26" s="4" t="s">
        <v>24</v>
      </c>
      <c r="C26">
        <v>0.58099999999999996</v>
      </c>
      <c r="D26">
        <f>1-D27-D28</f>
        <v>0.78672900000000001</v>
      </c>
      <c r="F26" s="4"/>
      <c r="G26" s="5"/>
      <c r="H26" s="5"/>
    </row>
    <row r="27" spans="1:11" x14ac:dyDescent="0.25">
      <c r="A27" t="s">
        <v>25</v>
      </c>
      <c r="B27" s="4" t="s">
        <v>26</v>
      </c>
      <c r="C27">
        <v>0.40700000000000008</v>
      </c>
      <c r="D27">
        <f>C27*$C$67</f>
        <v>0.20716300000000004</v>
      </c>
      <c r="F27" s="4"/>
      <c r="G27" s="47"/>
      <c r="H27" s="44"/>
    </row>
    <row r="28" spans="1:11" x14ac:dyDescent="0.25">
      <c r="A28" t="s">
        <v>27</v>
      </c>
      <c r="B28" s="4" t="s">
        <v>28</v>
      </c>
      <c r="C28">
        <v>1.2E-2</v>
      </c>
      <c r="D28">
        <f>C28*$C$67</f>
        <v>6.1080000000000006E-3</v>
      </c>
      <c r="F28" s="4"/>
      <c r="G28" s="47"/>
      <c r="H28" s="5"/>
    </row>
    <row r="29" spans="1:11" x14ac:dyDescent="0.25">
      <c r="F29" s="4"/>
      <c r="G29" s="47"/>
      <c r="H29" s="44"/>
    </row>
    <row r="30" spans="1:11" x14ac:dyDescent="0.25">
      <c r="A30" t="s">
        <v>29</v>
      </c>
      <c r="B30" s="4" t="s">
        <v>30</v>
      </c>
      <c r="C30">
        <v>0</v>
      </c>
      <c r="F30" s="4"/>
      <c r="G30" s="47"/>
      <c r="H30" s="5"/>
    </row>
    <row r="31" spans="1:11" x14ac:dyDescent="0.25">
      <c r="A31" t="s">
        <v>31</v>
      </c>
      <c r="B31" s="4" t="s">
        <v>32</v>
      </c>
      <c r="C31">
        <v>0</v>
      </c>
      <c r="F31" s="4"/>
      <c r="G31" s="47"/>
      <c r="H31" s="44"/>
    </row>
    <row r="32" spans="1:11" x14ac:dyDescent="0.25">
      <c r="A32" t="s">
        <v>33</v>
      </c>
      <c r="B32" s="4" t="s">
        <v>34</v>
      </c>
      <c r="C32">
        <v>0.75</v>
      </c>
      <c r="D32">
        <f>1-D33</f>
        <v>0.87275000000000003</v>
      </c>
      <c r="F32" s="4"/>
      <c r="G32" s="47"/>
      <c r="H32" s="5"/>
    </row>
    <row r="33" spans="1:8" x14ac:dyDescent="0.25">
      <c r="A33" s="14" t="s">
        <v>35</v>
      </c>
      <c r="B33" s="15" t="s">
        <v>36</v>
      </c>
      <c r="C33">
        <v>0.25</v>
      </c>
      <c r="D33">
        <f>C33*$C$67</f>
        <v>0.12725</v>
      </c>
      <c r="F33" s="4"/>
      <c r="G33" s="47"/>
      <c r="H33" s="5"/>
    </row>
    <row r="34" spans="1:8" x14ac:dyDescent="0.25">
      <c r="A34" s="14"/>
      <c r="B34" s="15"/>
      <c r="F34" s="4"/>
      <c r="G34" s="47"/>
      <c r="H34" s="44"/>
    </row>
    <row r="35" spans="1:8" x14ac:dyDescent="0.25">
      <c r="A35" s="3" t="s">
        <v>37</v>
      </c>
      <c r="B35" s="6" t="s">
        <v>38</v>
      </c>
      <c r="C35" s="3">
        <v>1</v>
      </c>
      <c r="D35">
        <f>1</f>
        <v>1</v>
      </c>
      <c r="F35" s="4"/>
      <c r="G35" s="5"/>
      <c r="H35" s="5"/>
    </row>
    <row r="36" spans="1:8" ht="9" customHeight="1" x14ac:dyDescent="0.25">
      <c r="F36" s="4"/>
      <c r="G36" s="5"/>
      <c r="H36" s="44"/>
    </row>
    <row r="37" spans="1:8" x14ac:dyDescent="0.25">
      <c r="A37" s="1" t="s">
        <v>39</v>
      </c>
      <c r="F37" s="4"/>
      <c r="H37" s="5"/>
    </row>
    <row r="38" spans="1:8" ht="9" customHeight="1" x14ac:dyDescent="0.25">
      <c r="A38" s="3"/>
      <c r="B38" s="3"/>
      <c r="C38" s="3"/>
      <c r="F38" s="4"/>
      <c r="G38" s="5"/>
      <c r="H38" s="44"/>
    </row>
    <row r="39" spans="1:8" x14ac:dyDescent="0.25">
      <c r="A39" s="8" t="s">
        <v>40</v>
      </c>
      <c r="B39" s="8" t="s">
        <v>11</v>
      </c>
      <c r="C39" s="8" t="s">
        <v>12</v>
      </c>
    </row>
    <row r="40" spans="1:8" ht="12.75" customHeight="1" x14ac:dyDescent="0.25">
      <c r="A40" s="35" t="s">
        <v>41</v>
      </c>
      <c r="B40" s="22"/>
      <c r="C40" s="22"/>
    </row>
    <row r="41" spans="1:8" x14ac:dyDescent="0.25">
      <c r="A41" t="s">
        <v>42</v>
      </c>
      <c r="B41" s="37" t="s">
        <v>43</v>
      </c>
      <c r="C41" s="36">
        <v>1701</v>
      </c>
    </row>
    <row r="42" spans="1:8" x14ac:dyDescent="0.25">
      <c r="A42" t="s">
        <v>44</v>
      </c>
      <c r="B42" s="37" t="s">
        <v>45</v>
      </c>
      <c r="C42" s="36">
        <v>1774</v>
      </c>
    </row>
    <row r="43" spans="1:8" x14ac:dyDescent="0.25">
      <c r="A43" t="s">
        <v>46</v>
      </c>
      <c r="B43" s="37" t="s">
        <v>47</v>
      </c>
      <c r="C43" s="36">
        <v>6948</v>
      </c>
    </row>
    <row r="44" spans="1:8" x14ac:dyDescent="0.25">
      <c r="A44" s="22"/>
      <c r="B44" s="37"/>
      <c r="C44" s="22"/>
    </row>
    <row r="45" spans="1:8" x14ac:dyDescent="0.25">
      <c r="A45" s="35" t="s">
        <v>48</v>
      </c>
      <c r="B45" s="37"/>
      <c r="C45" s="22"/>
    </row>
    <row r="46" spans="1:8" x14ac:dyDescent="0.25">
      <c r="A46" t="s">
        <v>42</v>
      </c>
      <c r="B46" s="37" t="s">
        <v>49</v>
      </c>
      <c r="C46" s="36">
        <v>1055</v>
      </c>
    </row>
    <row r="47" spans="1:8" x14ac:dyDescent="0.25">
      <c r="A47" t="s">
        <v>44</v>
      </c>
      <c r="B47" s="37" t="s">
        <v>50</v>
      </c>
      <c r="C47" s="36">
        <v>1278</v>
      </c>
    </row>
    <row r="48" spans="1:8" x14ac:dyDescent="0.25">
      <c r="A48" t="s">
        <v>46</v>
      </c>
      <c r="B48" s="37" t="s">
        <v>51</v>
      </c>
      <c r="C48" s="36">
        <v>2059</v>
      </c>
    </row>
    <row r="49" spans="1:4" x14ac:dyDescent="0.25">
      <c r="A49" s="22"/>
      <c r="B49" s="37"/>
      <c r="C49" s="22"/>
    </row>
    <row r="50" spans="1:4" x14ac:dyDescent="0.25">
      <c r="A50" s="35" t="s">
        <v>52</v>
      </c>
      <c r="B50" s="37"/>
      <c r="C50" s="22"/>
    </row>
    <row r="51" spans="1:4" ht="13.5" customHeight="1" x14ac:dyDescent="0.25">
      <c r="A51" t="s">
        <v>53</v>
      </c>
      <c r="B51" s="37" t="s">
        <v>54</v>
      </c>
      <c r="C51" s="36">
        <v>2278</v>
      </c>
    </row>
    <row r="52" spans="1:4" ht="13.5" customHeight="1" x14ac:dyDescent="0.25">
      <c r="A52" t="s">
        <v>55</v>
      </c>
      <c r="B52" s="37" t="s">
        <v>56</v>
      </c>
      <c r="C52" s="38">
        <f>365.25*5.7098</f>
        <v>2085.5044500000004</v>
      </c>
    </row>
    <row r="53" spans="1:4" ht="13.5" customHeight="1" x14ac:dyDescent="0.25">
      <c r="B53" s="37"/>
      <c r="C53" s="22"/>
    </row>
    <row r="54" spans="1:4" ht="13.5" customHeight="1" x14ac:dyDescent="0.25">
      <c r="A54" s="2" t="s">
        <v>57</v>
      </c>
    </row>
    <row r="55" spans="1:4" ht="13.5" customHeight="1" x14ac:dyDescent="0.25">
      <c r="A55" t="s">
        <v>42</v>
      </c>
      <c r="B55" s="4" t="s">
        <v>58</v>
      </c>
      <c r="C55" s="9">
        <f>dmca+ccca+dcm</f>
        <v>5034</v>
      </c>
    </row>
    <row r="56" spans="1:4" ht="13.5" customHeight="1" x14ac:dyDescent="0.25">
      <c r="A56" t="s">
        <v>44</v>
      </c>
      <c r="B56" s="4" t="s">
        <v>59</v>
      </c>
      <c r="C56" s="9">
        <f>dmcb+cccb+dcm</f>
        <v>5330</v>
      </c>
    </row>
    <row r="57" spans="1:4" x14ac:dyDescent="0.25">
      <c r="A57" t="s">
        <v>46</v>
      </c>
      <c r="B57" s="4" t="s">
        <v>60</v>
      </c>
      <c r="C57" s="9">
        <f>dmcc+cccc+dcm</f>
        <v>11285</v>
      </c>
    </row>
    <row r="58" spans="1:4" x14ac:dyDescent="0.25">
      <c r="D58" s="9"/>
    </row>
    <row r="59" spans="1:4" x14ac:dyDescent="0.25">
      <c r="A59" s="2" t="s">
        <v>61</v>
      </c>
      <c r="D59" s="9"/>
    </row>
    <row r="60" spans="1:4" x14ac:dyDescent="0.25">
      <c r="A60" t="s">
        <v>42</v>
      </c>
      <c r="B60" s="4" t="s">
        <v>62</v>
      </c>
      <c r="C60" s="9">
        <f>dmca+ccca+dcm+dcd</f>
        <v>7119.5044500000004</v>
      </c>
      <c r="D60" s="9"/>
    </row>
    <row r="61" spans="1:4" x14ac:dyDescent="0.25">
      <c r="A61" t="s">
        <v>44</v>
      </c>
      <c r="B61" s="4" t="s">
        <v>63</v>
      </c>
      <c r="C61" s="9">
        <f>dmcb+cccb+dcm+dcd</f>
        <v>7415.5044500000004</v>
      </c>
    </row>
    <row r="62" spans="1:4" x14ac:dyDescent="0.25">
      <c r="A62" s="3" t="s">
        <v>46</v>
      </c>
      <c r="B62" s="6" t="s">
        <v>64</v>
      </c>
      <c r="C62" s="10">
        <f>dmcc+cccc+dcm+dcd</f>
        <v>13370.50445</v>
      </c>
    </row>
    <row r="63" spans="1:4" ht="9" customHeight="1" x14ac:dyDescent="0.25"/>
    <row r="64" spans="1:4" x14ac:dyDescent="0.25">
      <c r="A64" s="1" t="s">
        <v>65</v>
      </c>
    </row>
    <row r="65" spans="1:17" ht="8.25" customHeight="1" x14ac:dyDescent="0.25">
      <c r="A65" s="3"/>
      <c r="B65" s="3"/>
      <c r="C65" s="3"/>
    </row>
    <row r="66" spans="1:17" x14ac:dyDescent="0.25">
      <c r="A66" s="8" t="s">
        <v>10</v>
      </c>
      <c r="B66" s="8" t="s">
        <v>11</v>
      </c>
      <c r="C66" s="8" t="s">
        <v>12</v>
      </c>
    </row>
    <row r="67" spans="1:17" x14ac:dyDescent="0.25">
      <c r="A67" t="s">
        <v>66</v>
      </c>
      <c r="B67" s="4" t="s">
        <v>67</v>
      </c>
      <c r="C67">
        <v>0.50900000000000001</v>
      </c>
    </row>
    <row r="68" spans="1:17" x14ac:dyDescent="0.25">
      <c r="A68" t="s">
        <v>68</v>
      </c>
      <c r="B68" s="4" t="s">
        <v>69</v>
      </c>
      <c r="C68">
        <v>2</v>
      </c>
    </row>
    <row r="69" spans="1:17" x14ac:dyDescent="0.25">
      <c r="A69" t="s">
        <v>70</v>
      </c>
      <c r="B69" s="4" t="s">
        <v>71</v>
      </c>
      <c r="C69" s="13">
        <v>0.06</v>
      </c>
    </row>
    <row r="70" spans="1:17" x14ac:dyDescent="0.25">
      <c r="A70" s="14" t="s">
        <v>72</v>
      </c>
      <c r="B70" s="15" t="s">
        <v>73</v>
      </c>
      <c r="C70" s="32">
        <v>0.02</v>
      </c>
    </row>
    <row r="71" spans="1:17" x14ac:dyDescent="0.25">
      <c r="A71" s="3" t="s">
        <v>74</v>
      </c>
      <c r="B71" s="6" t="s">
        <v>75</v>
      </c>
      <c r="C71" s="3">
        <v>0</v>
      </c>
    </row>
    <row r="72" spans="1:17" ht="8.25" customHeight="1" x14ac:dyDescent="0.25"/>
    <row r="73" spans="1:17" ht="15.6" x14ac:dyDescent="0.3">
      <c r="A73" s="34" t="s">
        <v>76</v>
      </c>
    </row>
    <row r="74" spans="1:17" ht="9" customHeight="1" x14ac:dyDescent="0.25"/>
    <row r="75" spans="1:17" x14ac:dyDescent="0.25">
      <c r="A75" s="11" t="s">
        <v>77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14"/>
      <c r="O75" s="14"/>
      <c r="P75" s="14"/>
      <c r="Q75" s="14"/>
    </row>
    <row r="76" spans="1:17" x14ac:dyDescent="0.25">
      <c r="A76" s="18"/>
      <c r="B76" s="8"/>
      <c r="C76" s="19"/>
      <c r="D76" s="19"/>
      <c r="E76" s="19"/>
      <c r="F76" s="8"/>
      <c r="G76" s="20" t="s">
        <v>78</v>
      </c>
      <c r="H76" s="20"/>
      <c r="I76" s="20" t="s">
        <v>79</v>
      </c>
      <c r="J76" s="20"/>
      <c r="K76" s="20" t="s">
        <v>39</v>
      </c>
      <c r="L76" s="20"/>
      <c r="N76" s="14"/>
      <c r="O76" s="14"/>
      <c r="P76" s="14"/>
      <c r="Q76" s="14"/>
    </row>
    <row r="77" spans="1:17" x14ac:dyDescent="0.25">
      <c r="A77" s="8" t="s">
        <v>80</v>
      </c>
      <c r="B77" s="8" t="s">
        <v>81</v>
      </c>
      <c r="C77" s="8" t="s">
        <v>82</v>
      </c>
      <c r="D77" s="8" t="s">
        <v>83</v>
      </c>
      <c r="E77" s="8" t="s">
        <v>84</v>
      </c>
      <c r="F77" s="8" t="s">
        <v>85</v>
      </c>
      <c r="G77" s="8" t="s">
        <v>86</v>
      </c>
      <c r="H77" s="8" t="s">
        <v>87</v>
      </c>
      <c r="I77" s="8" t="s">
        <v>86</v>
      </c>
      <c r="J77" s="8" t="s">
        <v>87</v>
      </c>
      <c r="K77" s="8" t="s">
        <v>88</v>
      </c>
      <c r="L77" s="8" t="s">
        <v>89</v>
      </c>
    </row>
    <row r="79" spans="1:17" x14ac:dyDescent="0.25">
      <c r="A79" s="12">
        <v>0</v>
      </c>
      <c r="B79" s="16">
        <v>1000</v>
      </c>
      <c r="C79" s="16">
        <v>0</v>
      </c>
      <c r="D79" s="16">
        <v>0</v>
      </c>
      <c r="E79" s="16">
        <v>0</v>
      </c>
      <c r="F79" s="17">
        <f>SUM(B79:E79)</f>
        <v>1000</v>
      </c>
      <c r="M79" s="17"/>
    </row>
    <row r="80" spans="1:17" x14ac:dyDescent="0.25">
      <c r="A80">
        <v>1</v>
      </c>
      <c r="B80" s="17">
        <f>(B79*+TP_A_A)+(C79*+TP_B_A)+(D79*+TP_C_A)</f>
        <v>721</v>
      </c>
      <c r="C80" s="17">
        <f>(B79*+TP_A_B)+(C79*+TP_B_B)+(D79*+TP_C_B)</f>
        <v>202</v>
      </c>
      <c r="D80" s="17">
        <f>(B79*+TP_A_C)+(C79*+TP_B_C)+(D79*+TP_C_C)</f>
        <v>66.999999999999929</v>
      </c>
      <c r="E80" s="17">
        <f>(B79*+TP_A_D)+(C79*+TP_B_D)+(D79*+TP_C_D)+(E79*TP_D_D)</f>
        <v>10</v>
      </c>
      <c r="F80" s="17">
        <f>SUM(B80:E80)</f>
        <v>999.99999999999989</v>
      </c>
      <c r="G80" s="17">
        <f>+B80+C80+D80+(0.5*(E80-E79))</f>
        <v>994.99999999999989</v>
      </c>
      <c r="H80" s="17">
        <f>+B80+C80+D80+E80</f>
        <v>999.99999999999989</v>
      </c>
      <c r="I80" s="17">
        <f>+G80/((1+DR_B)^A80)</f>
        <v>975.49019607843127</v>
      </c>
      <c r="J80" s="17">
        <f>+H80/((1+DR_B)^A80)</f>
        <v>980.39215686274497</v>
      </c>
      <c r="K80" s="17">
        <f>(+B80*Cost_A_S)+(C80*Cost_B_S)+(D80*Cost_C_S)</f>
        <v>5462268.9999999991</v>
      </c>
      <c r="L80" s="17">
        <f>+K80/((1+DR_C)^(A80))</f>
        <v>5153083.9622641494</v>
      </c>
      <c r="M80" s="17"/>
    </row>
    <row r="81" spans="1:13" x14ac:dyDescent="0.25">
      <c r="A81">
        <v>2</v>
      </c>
      <c r="B81" s="17">
        <f t="shared" ref="B81:B96" si="0">(B80*+TP_A_A)+(C80*+TP_B_A)+(D80*+TP_C_A)</f>
        <v>519.84100000000001</v>
      </c>
      <c r="C81" s="17">
        <f t="shared" ref="C81:C96" si="1">(B80*+TP_A_B)+(C80*+TP_B_B)+(D80*+TP_C_B)</f>
        <v>263.00400000000002</v>
      </c>
      <c r="D81" s="17">
        <f t="shared" ref="D81:D96" si="2">(B80*+TP_A_C)+(C80*+TP_B_C)+(D80*+TP_C_C)</f>
        <v>180.7709999999999</v>
      </c>
      <c r="E81" s="17">
        <f t="shared" ref="E81:E96" si="3">(B80*+TP_A_D)+(C80*+TP_B_D)+(D80*+TP_C_D)+(E80*TP_D_D)</f>
        <v>36.383999999999986</v>
      </c>
      <c r="F81" s="17">
        <f t="shared" ref="F81:F96" si="4">SUM(B81:E81)</f>
        <v>1000</v>
      </c>
      <c r="G81" s="17">
        <f>+B81+C81+D81+(0.5*(E81-E80))</f>
        <v>976.80799999999999</v>
      </c>
      <c r="H81" s="17">
        <f>+B81+C81+D81+(E81-E80)</f>
        <v>990</v>
      </c>
      <c r="I81" s="17">
        <f t="shared" ref="I81:I96" si="5">+G81/((1+DR_B)^A81)</f>
        <v>938.87735486351403</v>
      </c>
      <c r="J81" s="17">
        <f t="shared" ref="J81:J96" si="6">+H81/((1+DR_B)^A81)</f>
        <v>951.55709342560556</v>
      </c>
      <c r="K81" s="17">
        <f t="shared" ref="K81:K96" si="7">(+B81*Cost_A_S)+(C81*Cost_B_S)+(D81*Cost_C_S)</f>
        <v>6058691.6489999983</v>
      </c>
      <c r="L81" s="17">
        <f t="shared" ref="L81:L96" si="8">+K81/((1+DR_C)^(A81))</f>
        <v>5392213.9987540031</v>
      </c>
      <c r="M81" s="17"/>
    </row>
    <row r="82" spans="1:13" x14ac:dyDescent="0.25">
      <c r="A82">
        <v>3</v>
      </c>
      <c r="B82" s="17">
        <f t="shared" si="0"/>
        <v>374.805361</v>
      </c>
      <c r="C82" s="17">
        <f t="shared" si="1"/>
        <v>257.81320600000004</v>
      </c>
      <c r="D82" s="17">
        <f t="shared" si="2"/>
        <v>277.45022499999993</v>
      </c>
      <c r="E82" s="17">
        <f t="shared" si="3"/>
        <v>89.93120799999997</v>
      </c>
      <c r="F82" s="17">
        <f t="shared" si="4"/>
        <v>999.99999999999989</v>
      </c>
      <c r="G82" s="17">
        <f t="shared" ref="G82:G97" si="9">+B82+C82+D82+(0.5*(E82-E81))</f>
        <v>936.84239599999989</v>
      </c>
      <c r="H82" s="17">
        <f t="shared" ref="H82:H97" si="10">+B82+C82+D82+(E82-E81)</f>
        <v>963.61599999999987</v>
      </c>
      <c r="I82" s="17">
        <f t="shared" si="5"/>
        <v>882.8075137013667</v>
      </c>
      <c r="J82" s="17">
        <f t="shared" si="6"/>
        <v>908.03687872688477</v>
      </c>
      <c r="K82" s="17">
        <f t="shared" si="7"/>
        <v>6391940.364378999</v>
      </c>
      <c r="L82" s="17">
        <f t="shared" si="8"/>
        <v>5366796.3859251235</v>
      </c>
      <c r="M82" s="17"/>
    </row>
    <row r="83" spans="1:13" x14ac:dyDescent="0.25">
      <c r="A83">
        <v>4</v>
      </c>
      <c r="B83" s="17">
        <f t="shared" si="0"/>
        <v>270.23466528099999</v>
      </c>
      <c r="C83" s="17">
        <f t="shared" si="1"/>
        <v>225.500155608</v>
      </c>
      <c r="D83" s="17">
        <f t="shared" si="2"/>
        <v>338.12960277899992</v>
      </c>
      <c r="E83" s="17">
        <f t="shared" si="3"/>
        <v>166.13557633199997</v>
      </c>
      <c r="F83" s="17">
        <f t="shared" si="4"/>
        <v>1000</v>
      </c>
      <c r="G83" s="17">
        <f t="shared" si="9"/>
        <v>871.966607834</v>
      </c>
      <c r="H83" s="17">
        <f t="shared" si="10"/>
        <v>910.06879200000003</v>
      </c>
      <c r="I83" s="17">
        <f t="shared" si="5"/>
        <v>805.56236229529623</v>
      </c>
      <c r="J83" s="17">
        <f t="shared" si="6"/>
        <v>840.76289085867518</v>
      </c>
      <c r="K83" s="17">
        <f t="shared" si="7"/>
        <v>6378069.7017762084</v>
      </c>
      <c r="L83" s="17">
        <f t="shared" si="8"/>
        <v>5052028.5944673456</v>
      </c>
      <c r="M83" s="17"/>
    </row>
    <row r="84" spans="1:13" x14ac:dyDescent="0.25">
      <c r="A84">
        <v>5</v>
      </c>
      <c r="B84" s="17">
        <f t="shared" si="0"/>
        <v>194.83919366760099</v>
      </c>
      <c r="C84" s="17">
        <f t="shared" si="1"/>
        <v>185.60299279500998</v>
      </c>
      <c r="D84" s="17">
        <f t="shared" si="2"/>
        <v>363.48148799053297</v>
      </c>
      <c r="E84" s="17">
        <f t="shared" si="3"/>
        <v>256.07632554685597</v>
      </c>
      <c r="F84" s="17">
        <f t="shared" si="4"/>
        <v>999.99999999999989</v>
      </c>
      <c r="G84" s="17">
        <f t="shared" si="9"/>
        <v>788.89404906057189</v>
      </c>
      <c r="H84" s="17">
        <f t="shared" si="10"/>
        <v>833.86442366799997</v>
      </c>
      <c r="I84" s="17">
        <f t="shared" si="5"/>
        <v>714.52564592563317</v>
      </c>
      <c r="J84" s="17">
        <f t="shared" si="6"/>
        <v>755.25669973717368</v>
      </c>
      <c r="K84" s="17">
        <f t="shared" si="7"/>
        <v>6071973.044493271</v>
      </c>
      <c r="L84" s="17">
        <f t="shared" si="8"/>
        <v>4537331.4829199901</v>
      </c>
      <c r="M84" s="17"/>
    </row>
    <row r="85" spans="1:13" x14ac:dyDescent="0.25">
      <c r="A85">
        <v>6</v>
      </c>
      <c r="B85" s="17">
        <f t="shared" si="0"/>
        <v>140.4790586343403</v>
      </c>
      <c r="C85" s="17">
        <f t="shared" si="1"/>
        <v>147.19285593475621</v>
      </c>
      <c r="D85" s="17">
        <f t="shared" si="2"/>
        <v>361.20576003619806</v>
      </c>
      <c r="E85" s="17">
        <f t="shared" si="3"/>
        <v>351.12232539470534</v>
      </c>
      <c r="F85" s="17">
        <f t="shared" si="4"/>
        <v>1000</v>
      </c>
      <c r="G85" s="17">
        <f t="shared" si="9"/>
        <v>696.40067452921926</v>
      </c>
      <c r="H85" s="17">
        <f t="shared" si="10"/>
        <v>743.92367445314403</v>
      </c>
      <c r="I85" s="17">
        <f t="shared" si="5"/>
        <v>618.38386951710731</v>
      </c>
      <c r="J85" s="17">
        <f t="shared" si="6"/>
        <v>660.58293344518904</v>
      </c>
      <c r="K85" s="17">
        <f t="shared" si="7"/>
        <v>5567916.5053060148</v>
      </c>
      <c r="L85" s="17">
        <f t="shared" si="8"/>
        <v>3925161.4287035218</v>
      </c>
      <c r="M85" s="17"/>
    </row>
    <row r="86" spans="1:13" x14ac:dyDescent="0.25">
      <c r="A86">
        <v>7</v>
      </c>
      <c r="B86" s="17">
        <f t="shared" si="0"/>
        <v>101.28540127535936</v>
      </c>
      <c r="C86" s="17">
        <f t="shared" si="1"/>
        <v>113.8958191422301</v>
      </c>
      <c r="D86" s="17">
        <f t="shared" si="2"/>
        <v>340.22390932109511</v>
      </c>
      <c r="E86" s="17">
        <f t="shared" si="3"/>
        <v>444.59487026131535</v>
      </c>
      <c r="F86" s="17">
        <f t="shared" si="4"/>
        <v>999.99999999999989</v>
      </c>
      <c r="G86" s="17">
        <f t="shared" si="9"/>
        <v>602.14140217198951</v>
      </c>
      <c r="H86" s="17">
        <f t="shared" si="10"/>
        <v>648.87767460529449</v>
      </c>
      <c r="I86" s="17">
        <f t="shared" si="5"/>
        <v>524.20032662567974</v>
      </c>
      <c r="J86" s="17">
        <f t="shared" si="6"/>
        <v>564.88706430296634</v>
      </c>
      <c r="K86" s="17">
        <f t="shared" si="7"/>
        <v>4956362.2427368034</v>
      </c>
      <c r="L86" s="17">
        <f t="shared" si="8"/>
        <v>3296263.9672212666</v>
      </c>
      <c r="M86" s="17"/>
    </row>
    <row r="87" spans="1:13" x14ac:dyDescent="0.25">
      <c r="A87">
        <v>8</v>
      </c>
      <c r="B87" s="17">
        <f t="shared" si="0"/>
        <v>73.026774319534098</v>
      </c>
      <c r="C87" s="17">
        <f t="shared" si="1"/>
        <v>86.633121979258277</v>
      </c>
      <c r="D87" s="17">
        <f t="shared" si="2"/>
        <v>308.30965226715807</v>
      </c>
      <c r="E87" s="17">
        <f t="shared" si="3"/>
        <v>532.0304514340495</v>
      </c>
      <c r="F87" s="17">
        <f t="shared" si="4"/>
        <v>1000</v>
      </c>
      <c r="G87" s="17">
        <f t="shared" si="9"/>
        <v>511.68733915231752</v>
      </c>
      <c r="H87" s="17">
        <f t="shared" si="10"/>
        <v>555.40512973868454</v>
      </c>
      <c r="I87" s="17">
        <f t="shared" si="5"/>
        <v>436.72021702639199</v>
      </c>
      <c r="J87" s="17">
        <f t="shared" si="6"/>
        <v>474.03293034156195</v>
      </c>
      <c r="K87" s="17">
        <f t="shared" si="7"/>
        <v>4308645.7479088604</v>
      </c>
      <c r="L87" s="17">
        <f t="shared" si="8"/>
        <v>2703297.6459673755</v>
      </c>
      <c r="M87" s="17"/>
    </row>
    <row r="88" spans="1:13" x14ac:dyDescent="0.25">
      <c r="A88">
        <v>9</v>
      </c>
      <c r="B88" s="17">
        <f t="shared" si="0"/>
        <v>52.65230428438408</v>
      </c>
      <c r="C88" s="17">
        <f t="shared" si="1"/>
        <v>65.085252282494949</v>
      </c>
      <c r="D88" s="17">
        <f t="shared" si="2"/>
        <v>271.38471372533547</v>
      </c>
      <c r="E88" s="17">
        <f t="shared" si="3"/>
        <v>610.87772970778542</v>
      </c>
      <c r="F88" s="17">
        <f t="shared" si="4"/>
        <v>999.99999999999989</v>
      </c>
      <c r="G88" s="17">
        <f t="shared" si="9"/>
        <v>428.54590942908243</v>
      </c>
      <c r="H88" s="17">
        <f t="shared" si="10"/>
        <v>467.96954856595039</v>
      </c>
      <c r="I88" s="17">
        <f t="shared" si="5"/>
        <v>358.5880463829721</v>
      </c>
      <c r="J88" s="17">
        <f t="shared" si="6"/>
        <v>391.57598403060979</v>
      </c>
      <c r="K88" s="17">
        <f t="shared" si="7"/>
        <v>3674532.5888236985</v>
      </c>
      <c r="L88" s="17">
        <f t="shared" si="8"/>
        <v>2174950.1935157524</v>
      </c>
      <c r="M88" s="17"/>
    </row>
    <row r="89" spans="1:13" x14ac:dyDescent="0.25">
      <c r="A89">
        <v>10</v>
      </c>
      <c r="B89" s="17">
        <f t="shared" si="0"/>
        <v>37.96231138904092</v>
      </c>
      <c r="C89" s="17">
        <f t="shared" si="1"/>
        <v>48.450297041575148</v>
      </c>
      <c r="D89" s="17">
        <f t="shared" si="2"/>
        <v>233.55593736003078</v>
      </c>
      <c r="E89" s="17">
        <f t="shared" si="3"/>
        <v>680.03145420935311</v>
      </c>
      <c r="F89" s="17">
        <f t="shared" si="4"/>
        <v>1000</v>
      </c>
      <c r="G89" s="17">
        <f t="shared" si="9"/>
        <v>354.54540804143073</v>
      </c>
      <c r="H89" s="17">
        <f t="shared" si="10"/>
        <v>389.12227029221458</v>
      </c>
      <c r="I89" s="17">
        <f t="shared" si="5"/>
        <v>290.8507227153309</v>
      </c>
      <c r="J89" s="17">
        <f t="shared" si="6"/>
        <v>319.21579287777888</v>
      </c>
      <c r="K89" s="17">
        <f t="shared" si="7"/>
        <v>3085021.111871975</v>
      </c>
      <c r="L89" s="17">
        <f t="shared" si="8"/>
        <v>1722659.6755421804</v>
      </c>
      <c r="M89" s="17"/>
    </row>
    <row r="90" spans="1:13" x14ac:dyDescent="0.25">
      <c r="A90">
        <v>11</v>
      </c>
      <c r="B90" s="17">
        <f t="shared" si="0"/>
        <v>27.370826511498503</v>
      </c>
      <c r="C90" s="17">
        <f t="shared" si="1"/>
        <v>35.818009481741427</v>
      </c>
      <c r="D90" s="17">
        <f t="shared" si="2"/>
        <v>197.4296987790099</v>
      </c>
      <c r="E90" s="17">
        <f t="shared" si="3"/>
        <v>739.38146522775014</v>
      </c>
      <c r="F90" s="17">
        <f t="shared" si="4"/>
        <v>1000</v>
      </c>
      <c r="G90" s="17">
        <f t="shared" si="9"/>
        <v>290.29354028144837</v>
      </c>
      <c r="H90" s="17">
        <f t="shared" si="10"/>
        <v>319.96854579064689</v>
      </c>
      <c r="I90" s="17">
        <f t="shared" si="5"/>
        <v>233.47236493590796</v>
      </c>
      <c r="J90" s="17">
        <f t="shared" si="6"/>
        <v>257.33887505184606</v>
      </c>
      <c r="K90" s="17">
        <f t="shared" si="7"/>
        <v>2556688.8819176918</v>
      </c>
      <c r="L90" s="17">
        <f t="shared" si="8"/>
        <v>1346831.80930169</v>
      </c>
      <c r="M90" s="17"/>
    </row>
    <row r="91" spans="1:13" x14ac:dyDescent="0.25">
      <c r="A91">
        <v>12</v>
      </c>
      <c r="B91" s="17">
        <f t="shared" si="0"/>
        <v>19.73436591479042</v>
      </c>
      <c r="C91" s="17">
        <f t="shared" si="1"/>
        <v>26.339170464214469</v>
      </c>
      <c r="D91" s="17">
        <f t="shared" si="2"/>
        <v>164.48404931959658</v>
      </c>
      <c r="E91" s="17">
        <f t="shared" si="3"/>
        <v>789.44241430139846</v>
      </c>
      <c r="F91" s="17">
        <f t="shared" si="4"/>
        <v>1000</v>
      </c>
      <c r="G91" s="17">
        <f t="shared" si="9"/>
        <v>235.58806023542564</v>
      </c>
      <c r="H91" s="17">
        <f t="shared" si="10"/>
        <v>260.6185347722498</v>
      </c>
      <c r="I91" s="17">
        <f t="shared" si="5"/>
        <v>185.75957774415332</v>
      </c>
      <c r="J91" s="17">
        <f t="shared" si="6"/>
        <v>205.49593609800959</v>
      </c>
      <c r="K91" s="17">
        <f t="shared" si="7"/>
        <v>2095933.0731609655</v>
      </c>
      <c r="L91" s="17">
        <f t="shared" si="8"/>
        <v>1041614.5254687918</v>
      </c>
      <c r="M91" s="17"/>
    </row>
    <row r="92" spans="1:13" x14ac:dyDescent="0.25">
      <c r="A92">
        <v>13</v>
      </c>
      <c r="B92" s="17">
        <f t="shared" si="0"/>
        <v>14.228477824563893</v>
      </c>
      <c r="C92" s="17">
        <f t="shared" si="1"/>
        <v>19.289399954496272</v>
      </c>
      <c r="D92" s="17">
        <f t="shared" si="2"/>
        <v>135.40528188492368</v>
      </c>
      <c r="E92" s="17">
        <f t="shared" si="3"/>
        <v>831.07684033601606</v>
      </c>
      <c r="F92" s="17">
        <f t="shared" si="4"/>
        <v>999.99999999999989</v>
      </c>
      <c r="G92" s="17">
        <f t="shared" si="9"/>
        <v>189.74037268129265</v>
      </c>
      <c r="H92" s="17">
        <f t="shared" si="10"/>
        <v>210.55758569860146</v>
      </c>
      <c r="I92" s="17">
        <f t="shared" si="5"/>
        <v>146.67547940345042</v>
      </c>
      <c r="J92" s="17">
        <f t="shared" si="6"/>
        <v>162.76786214735003</v>
      </c>
      <c r="K92" s="17">
        <f t="shared" si="7"/>
        <v>1702487.2651976834</v>
      </c>
      <c r="L92" s="17">
        <f t="shared" si="8"/>
        <v>798192.46479551005</v>
      </c>
      <c r="M92" s="17"/>
    </row>
    <row r="93" spans="1:13" x14ac:dyDescent="0.25">
      <c r="A93">
        <v>14</v>
      </c>
      <c r="B93" s="17">
        <f t="shared" si="0"/>
        <v>10.258732511510566</v>
      </c>
      <c r="C93" s="17">
        <f t="shared" si="1"/>
        <v>14.08129389412424</v>
      </c>
      <c r="D93" s="17">
        <f t="shared" si="2"/>
        <v>110.35805520941852</v>
      </c>
      <c r="E93" s="17">
        <f t="shared" si="3"/>
        <v>865.30191838494659</v>
      </c>
      <c r="F93" s="17">
        <f t="shared" si="4"/>
        <v>999.99999999999989</v>
      </c>
      <c r="G93" s="17">
        <f t="shared" si="9"/>
        <v>151.81062063951859</v>
      </c>
      <c r="H93" s="17">
        <f t="shared" si="10"/>
        <v>168.92315966398385</v>
      </c>
      <c r="I93" s="17">
        <f t="shared" si="5"/>
        <v>115.05347784993863</v>
      </c>
      <c r="J93" s="17">
        <f t="shared" si="6"/>
        <v>128.02264378387332</v>
      </c>
      <c r="K93" s="17">
        <f t="shared" si="7"/>
        <v>1372086.4089569144</v>
      </c>
      <c r="L93" s="17">
        <f t="shared" si="8"/>
        <v>606875.14189388556</v>
      </c>
      <c r="M93" s="17"/>
    </row>
    <row r="94" spans="1:13" x14ac:dyDescent="0.25">
      <c r="A94">
        <v>15</v>
      </c>
      <c r="B94" s="17">
        <f t="shared" si="0"/>
        <v>7.396546140799118</v>
      </c>
      <c r="C94" s="17">
        <f t="shared" si="1"/>
        <v>10.253495719811315</v>
      </c>
      <c r="D94" s="17">
        <f t="shared" si="2"/>
        <v>89.186963100243673</v>
      </c>
      <c r="E94" s="17">
        <f t="shared" si="3"/>
        <v>893.16299503914581</v>
      </c>
      <c r="F94" s="17">
        <f t="shared" si="4"/>
        <v>999.99999999999989</v>
      </c>
      <c r="G94" s="17">
        <f t="shared" si="9"/>
        <v>120.76754328795371</v>
      </c>
      <c r="H94" s="17">
        <f t="shared" si="10"/>
        <v>134.69808161505333</v>
      </c>
      <c r="I94" s="17">
        <f t="shared" si="5"/>
        <v>89.732063567475748</v>
      </c>
      <c r="J94" s="17">
        <f t="shared" si="6"/>
        <v>100.08265874118038</v>
      </c>
      <c r="K94" s="17">
        <f t="shared" si="7"/>
        <v>1098360.2240456271</v>
      </c>
      <c r="L94" s="17">
        <f t="shared" si="8"/>
        <v>458307.34559590026</v>
      </c>
      <c r="M94" s="17"/>
    </row>
    <row r="95" spans="1:13" x14ac:dyDescent="0.25">
      <c r="A95">
        <v>16</v>
      </c>
      <c r="B95" s="17">
        <f t="shared" si="0"/>
        <v>5.3329097675161643</v>
      </c>
      <c r="C95" s="17">
        <f t="shared" si="1"/>
        <v>7.4513833336517958</v>
      </c>
      <c r="D95" s="17">
        <f t="shared" si="2"/>
        <v>71.558963674579502</v>
      </c>
      <c r="E95" s="17">
        <f t="shared" si="3"/>
        <v>915.65674322425241</v>
      </c>
      <c r="F95" s="17">
        <f t="shared" si="4"/>
        <v>999.99999999999989</v>
      </c>
      <c r="G95" s="17">
        <f t="shared" si="9"/>
        <v>95.590130868300761</v>
      </c>
      <c r="H95" s="17">
        <f t="shared" si="10"/>
        <v>106.83700496085406</v>
      </c>
      <c r="I95" s="17">
        <f t="shared" si="5"/>
        <v>69.632230663409516</v>
      </c>
      <c r="J95" s="17">
        <f t="shared" si="6"/>
        <v>77.824969013501047</v>
      </c>
      <c r="K95" s="17">
        <f t="shared" si="7"/>
        <v>874104.64600567007</v>
      </c>
      <c r="L95" s="17">
        <f t="shared" si="8"/>
        <v>344088.04547620192</v>
      </c>
      <c r="M95" s="17"/>
    </row>
    <row r="96" spans="1:13" x14ac:dyDescent="0.25">
      <c r="A96">
        <v>17</v>
      </c>
      <c r="B96" s="17">
        <f t="shared" si="0"/>
        <v>3.8450279423791542</v>
      </c>
      <c r="C96" s="17">
        <f t="shared" si="1"/>
        <v>5.4065014898899584</v>
      </c>
      <c r="D96" s="17">
        <f t="shared" si="2"/>
        <v>57.059240727154489</v>
      </c>
      <c r="E96" s="17">
        <f t="shared" si="3"/>
        <v>933.68922984057622</v>
      </c>
      <c r="F96" s="17">
        <f t="shared" si="4"/>
        <v>999.99999999999977</v>
      </c>
      <c r="G96" s="17">
        <f t="shared" si="9"/>
        <v>75.327013467585502</v>
      </c>
      <c r="H96" s="17">
        <f t="shared" si="10"/>
        <v>84.343256775747406</v>
      </c>
      <c r="I96" s="17">
        <f t="shared" si="5"/>
        <v>53.795732960841583</v>
      </c>
      <c r="J96" s="17">
        <f t="shared" si="6"/>
        <v>60.234796385605819</v>
      </c>
      <c r="K96" s="17">
        <f t="shared" si="7"/>
        <v>692086.0552089886</v>
      </c>
      <c r="L96" s="17">
        <f t="shared" si="8"/>
        <v>257016.13551174724</v>
      </c>
      <c r="M96" s="17"/>
    </row>
    <row r="97" spans="1:147" x14ac:dyDescent="0.25">
      <c r="A97">
        <v>18</v>
      </c>
      <c r="B97" s="17">
        <f>(B96*+TP_A_A)+(C96*+TP_B_A)+(D96*+TP_C_A)</f>
        <v>2.77226514645537</v>
      </c>
      <c r="C97" s="17">
        <f>(B96*+TP_A_B)+(C96*+TP_B_B)+(D96*+TP_C_B)</f>
        <v>3.9178730099866552</v>
      </c>
      <c r="D97" s="17">
        <f>(B96*+TP_A_C)+(C96*+TP_B_C)+(D96*+TP_C_C)</f>
        <v>45.252493523890486</v>
      </c>
      <c r="E97" s="17">
        <f>(B96*+TP_A_D)+(C96*+TP_B_D)+(D96*+TP_C_D)+(E96*TP_D_D)</f>
        <v>948.05736831966726</v>
      </c>
      <c r="F97" s="17">
        <f>SUM(B97:E97)</f>
        <v>999.99999999999977</v>
      </c>
      <c r="G97" s="17">
        <f t="shared" si="9"/>
        <v>59.126700919878033</v>
      </c>
      <c r="H97" s="17">
        <f t="shared" si="10"/>
        <v>66.310770159423555</v>
      </c>
      <c r="I97" s="17">
        <f>+G97/((1+DR_B)^A97)</f>
        <v>41.398113959841147</v>
      </c>
      <c r="J97" s="17">
        <f>+H97/((1+DR_B)^A97)</f>
        <v>46.428107388311105</v>
      </c>
      <c r="K97" s="17">
        <f>(+B97*Cost_A_S)+(C97*Cost_B_S)+(D97*Cost_C_S)</f>
        <v>545512.23530758929</v>
      </c>
      <c r="L97" s="17">
        <f>+K97/((1+DR_C)^(A97))</f>
        <v>191116.82462502742</v>
      </c>
      <c r="M97" s="17"/>
    </row>
    <row r="98" spans="1:147" x14ac:dyDescent="0.25">
      <c r="A98">
        <v>19</v>
      </c>
      <c r="B98" s="17">
        <f>(B97*+TP_A_A)+(C97*+TP_B_A)+(D97*+TP_C_A)</f>
        <v>1.9988031705943217</v>
      </c>
      <c r="C98" s="17">
        <f>(B97*+TP_A_B)+(C97*+TP_B_B)+(D97*+TP_C_B)</f>
        <v>2.8362817783862315</v>
      </c>
      <c r="D98" s="17">
        <f>(B97*+TP_A_C)+(C97*+TP_B_C)+(D97*+TP_C_C)</f>
        <v>35.719686222794948</v>
      </c>
      <c r="E98" s="17">
        <f>(B97*+TP_A_D)+(C97*+TP_B_D)+(D97*+TP_C_D)+(E97*TP_D_D)</f>
        <v>959.44522882822423</v>
      </c>
      <c r="F98" s="17">
        <f>SUM(B98:E98)</f>
        <v>999.99999999999977</v>
      </c>
      <c r="G98" s="17">
        <f>+B98+C98+D98+(0.5*(E98-E97))</f>
        <v>46.248701426053984</v>
      </c>
      <c r="H98" s="17">
        <f>+B98+C98+D98+(E98-E97)</f>
        <v>51.942631680332468</v>
      </c>
      <c r="I98" s="17">
        <f>+G98/((1+DR_B)^A98)</f>
        <v>31.746531258272245</v>
      </c>
      <c r="J98" s="17">
        <f>+H98/((1+DR_B)^A98)</f>
        <v>35.655020128795265</v>
      </c>
      <c r="K98" s="17">
        <f>(+B98*Cost_A_S)+(C98*Cost_B_S)+(D98*Cost_C_S)</f>
        <v>428276.01606381137</v>
      </c>
      <c r="L98" s="17">
        <f>+K98/((1+DR_C)^(A98))</f>
        <v>141550.79539387516</v>
      </c>
      <c r="M98" s="17"/>
    </row>
    <row r="99" spans="1:147" x14ac:dyDescent="0.25">
      <c r="A99">
        <v>20</v>
      </c>
      <c r="B99" s="17">
        <f>(B98*+TP_A_A)+(C98*+TP_B_A)+(D98*+TP_C_A)</f>
        <v>1.4411370859985058</v>
      </c>
      <c r="C99" s="17">
        <f>(B98*+TP_A_B)+(C98*+TP_B_B)+(D98*+TP_C_B)</f>
        <v>2.0516379537024534</v>
      </c>
      <c r="D99" s="17">
        <f>(B98*+TP_A_C)+(C98*+TP_B_C)+(D98*+TP_C_C)</f>
        <v>28.078051163329228</v>
      </c>
      <c r="E99" s="17">
        <f>(B98*+TP_A_D)+(C98*+TP_B_D)+(D98*+TP_C_D)+(E98*TP_D_D)</f>
        <v>968.42917379696951</v>
      </c>
      <c r="F99" s="17">
        <f>SUM(B99:E99)</f>
        <v>999.99999999999966</v>
      </c>
      <c r="G99" s="17">
        <f>+B99+C99+D99+(0.5*(E99-E98))</f>
        <v>36.062798687402825</v>
      </c>
      <c r="H99" s="17">
        <f>+B99+C99+D99+(E99-E98)</f>
        <v>40.554771171775464</v>
      </c>
      <c r="I99" s="17">
        <f>+G99/((1+DR_B)^A99)</f>
        <v>24.269229708268995</v>
      </c>
      <c r="J99" s="17">
        <f>+H99/((1+DR_B)^A99)</f>
        <v>27.292198419361963</v>
      </c>
      <c r="K99" s="17">
        <f>(+B99*Cost_A_S)+(C99*Cost_B_S)+(D99*Cost_C_S)</f>
        <v>335050.72176232084</v>
      </c>
      <c r="L99" s="17">
        <f>+K99/((1+DR_C)^(A99))</f>
        <v>104470.39879208586</v>
      </c>
      <c r="M99" s="17"/>
    </row>
    <row r="100" spans="1:147" x14ac:dyDescent="0.25">
      <c r="M100" s="17"/>
    </row>
    <row r="101" spans="1:147" ht="13.8" thickBot="1" x14ac:dyDescent="0.3">
      <c r="A101" s="21"/>
      <c r="B101" s="21"/>
      <c r="C101" s="21"/>
      <c r="D101" s="21"/>
      <c r="E101" s="21"/>
      <c r="F101" s="21"/>
      <c r="G101" s="28">
        <f t="shared" ref="G101:L101" si="11">SUM(G80:G99)/1000</f>
        <v>8.4633872687134719</v>
      </c>
      <c r="H101" s="28">
        <f t="shared" si="11"/>
        <v>8.9476018556119588</v>
      </c>
      <c r="I101" s="28">
        <f t="shared" si="11"/>
        <v>7.5375410571832822</v>
      </c>
      <c r="J101" s="28">
        <f t="shared" si="11"/>
        <v>7.9474434917670251</v>
      </c>
      <c r="K101" s="26">
        <f t="shared" si="11"/>
        <v>63656.007483923095</v>
      </c>
      <c r="L101" s="26">
        <f t="shared" si="11"/>
        <v>44613.850822135435</v>
      </c>
      <c r="M101" s="28"/>
    </row>
    <row r="102" spans="1:147" ht="9" customHeight="1" x14ac:dyDescent="0.25">
      <c r="B102" s="45"/>
      <c r="C102" s="45"/>
      <c r="D102" s="45"/>
      <c r="M102" s="17"/>
    </row>
    <row r="103" spans="1:147" ht="13.8" thickBot="1" x14ac:dyDescent="0.3">
      <c r="A103" s="11" t="s">
        <v>90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17"/>
    </row>
    <row r="104" spans="1:147" x14ac:dyDescent="0.25">
      <c r="A104" s="18"/>
      <c r="B104" s="8"/>
      <c r="C104" s="19"/>
      <c r="D104" s="19"/>
      <c r="E104" s="19"/>
      <c r="F104" s="8"/>
      <c r="G104" s="20" t="s">
        <v>78</v>
      </c>
      <c r="H104" s="20"/>
      <c r="I104" s="20" t="s">
        <v>79</v>
      </c>
      <c r="J104" s="20"/>
      <c r="K104" s="20" t="s">
        <v>39</v>
      </c>
      <c r="L104" s="20"/>
      <c r="M104" s="17"/>
      <c r="N104" s="42" t="s">
        <v>91</v>
      </c>
      <c r="O104" s="43" t="s">
        <v>92</v>
      </c>
      <c r="P104" s="43"/>
      <c r="Q104" s="43"/>
    </row>
    <row r="105" spans="1:147" ht="13.8" thickBot="1" x14ac:dyDescent="0.3">
      <c r="A105" s="8" t="s">
        <v>80</v>
      </c>
      <c r="B105" s="8" t="s">
        <v>81</v>
      </c>
      <c r="C105" s="8" t="s">
        <v>82</v>
      </c>
      <c r="D105" s="8" t="s">
        <v>83</v>
      </c>
      <c r="E105" s="8" t="s">
        <v>84</v>
      </c>
      <c r="F105" s="8" t="s">
        <v>85</v>
      </c>
      <c r="G105" s="8" t="s">
        <v>86</v>
      </c>
      <c r="H105" s="8" t="s">
        <v>87</v>
      </c>
      <c r="I105" s="8" t="s">
        <v>86</v>
      </c>
      <c r="J105" s="8" t="s">
        <v>87</v>
      </c>
      <c r="K105" s="8" t="s">
        <v>88</v>
      </c>
      <c r="L105" s="8" t="s">
        <v>89</v>
      </c>
      <c r="M105" s="17"/>
      <c r="N105" s="24"/>
      <c r="O105" s="25" t="s">
        <v>81</v>
      </c>
      <c r="P105" s="25" t="s">
        <v>82</v>
      </c>
      <c r="Q105" s="25" t="s">
        <v>83</v>
      </c>
    </row>
    <row r="106" spans="1:147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17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</row>
    <row r="107" spans="1:147" x14ac:dyDescent="0.25">
      <c r="A107" s="12">
        <v>0</v>
      </c>
      <c r="B107" s="16">
        <v>1000</v>
      </c>
      <c r="C107" s="16">
        <v>0</v>
      </c>
      <c r="D107" s="16">
        <v>0</v>
      </c>
      <c r="E107" s="16">
        <v>0</v>
      </c>
      <c r="F107" s="17">
        <f t="shared" ref="F107:F122" si="12">SUM(B107:E107)</f>
        <v>1000</v>
      </c>
      <c r="M107" s="17"/>
    </row>
    <row r="108" spans="1:147" x14ac:dyDescent="0.25">
      <c r="A108">
        <v>1</v>
      </c>
      <c r="B108" s="17">
        <f>IF(Duration &gt;=A108,(B107*+$D$20)+(C107*+$D$25)+(D107*+$D$30),(B107*+TP_A_A)+(C107*+TP_B_A)+(D107*+TP_C_A))</f>
        <v>857.98900000000003</v>
      </c>
      <c r="C108" s="17">
        <f>IF(Duration&gt;=A108,(B107*+$D$21)+(C107*+$D$26)+(D107*+$D$31),(B107*+TP_A_B)+(C107*+TP_B_B)+(D107*+TP_C_B))</f>
        <v>102.81800000000001</v>
      </c>
      <c r="D108" s="17">
        <f>IF(Duration&gt;=A108,(B107*+$D$22)+(C107*+$D$27)+(D107*+$D$32),(B107*+TP_A_C)+(C107*+TP_B_C)+(D107*+TP_C_C))</f>
        <v>34.102999999999966</v>
      </c>
      <c r="E108" s="17">
        <f>IF(Duration&gt;=A108,(B107*+$D$23)+(C107*+$D$28)+(D107*+$D$33)+(E107*$D$35),(B107*+TP_A_D)+(C107*+TP_B_D)+(D107*+TP_C_D)+(E107*TP_D_D))</f>
        <v>5.09</v>
      </c>
      <c r="F108" s="17">
        <f t="shared" si="12"/>
        <v>1000</v>
      </c>
      <c r="G108" s="17">
        <f t="shared" ref="G108:G123" si="13">+B108+C108+D108+(0.5*(E108-E107))</f>
        <v>997.45499999999993</v>
      </c>
      <c r="H108" s="17">
        <f>+B108+C108+D108+E108</f>
        <v>1000</v>
      </c>
      <c r="I108" s="17">
        <f>+G108/((1+DR_B)^A108)</f>
        <v>977.89705882352928</v>
      </c>
      <c r="J108" s="17">
        <f>+H108/((1+DR_B)^A108)</f>
        <v>980.39215686274508</v>
      </c>
      <c r="K108" s="17">
        <f t="shared" ref="K108:K127" si="14">(+B108*O108)+(C108*P108)+(D108*Q108)</f>
        <v>7326878.1533495001</v>
      </c>
      <c r="L108" s="17">
        <f>+K108/((1+DR_C)^A108)</f>
        <v>6912149.2012731126</v>
      </c>
      <c r="M108" s="17"/>
      <c r="N108" s="5">
        <f>IF(Duration&gt;=A80,RR,1)</f>
        <v>0.50900000000000001</v>
      </c>
      <c r="O108">
        <f>IF(Duration&gt;=A80,Cost_A_D,Cost_A_S)</f>
        <v>7119.5044500000004</v>
      </c>
      <c r="P108">
        <f>IF(Duration&gt;=A80,Cost_B_D,Cost_B_S)</f>
        <v>7415.5044500000004</v>
      </c>
      <c r="Q108">
        <f>IF(Duration&gt;=A80,Cost_C_D,Cost_C_S)</f>
        <v>13370.50445</v>
      </c>
    </row>
    <row r="109" spans="1:147" x14ac:dyDescent="0.25">
      <c r="A109">
        <v>2</v>
      </c>
      <c r="B109" s="17">
        <f t="shared" ref="B109:B124" si="15">IF(Duration &gt;=A109,(B108*+$D$20)+(C108*+$D$25)+(D108*+$D$30),(B108*+TP_A_A)+(C108*+TP_B_A)+(D108*+TP_C_A))</f>
        <v>736.14512412099998</v>
      </c>
      <c r="C109" s="17">
        <f t="shared" ref="C109:C124" si="16">IF(Duration&gt;=A109,(B108*+$D$21)+(C108*+$D$26)+(D108*+$D$31),(B108*+TP_A_B)+(C108*+TP_B_B)+(D108*+TP_C_B))</f>
        <v>169.10661532400002</v>
      </c>
      <c r="D109" s="17">
        <f t="shared" ref="D109:D124" si="17">IF(Duration&gt;=A109,(B108*+$D$22)+(C108*+$D$27)+(D108*+$D$32),(B108*+TP_A_C)+(C108*+TP_B_C)+(D108*+TP_C_C))</f>
        <v>80.323477450999945</v>
      </c>
      <c r="E109" s="17">
        <f t="shared" ref="E109:E124" si="18">IF(Duration&gt;=A109,(B108*+$D$23)+(C108*+$D$28)+(D108*+$D$33)+(E108*$D$35),(B108*+TP_A_D)+(C108*+TP_B_D)+(D108*+TP_C_D)+(E108*TP_D_D))</f>
        <v>14.424783103999996</v>
      </c>
      <c r="F109" s="17">
        <f t="shared" si="12"/>
        <v>999.99999999999989</v>
      </c>
      <c r="G109" s="17">
        <f t="shared" si="13"/>
        <v>990.24260844799994</v>
      </c>
      <c r="H109" s="17">
        <f>+B109+C109+D109+(E109-E108)</f>
        <v>994.90999999999985</v>
      </c>
      <c r="I109" s="17">
        <f t="shared" ref="I109:I124" si="19">+G109/((1+DR_B)^A109)</f>
        <v>951.79028109188766</v>
      </c>
      <c r="J109" s="17">
        <f t="shared" ref="J109:J124" si="20">+H109/((1+DR_B)^A109)</f>
        <v>956.27643214148395</v>
      </c>
      <c r="K109" s="17">
        <f t="shared" si="14"/>
        <v>7568964.7581828916</v>
      </c>
      <c r="L109" s="17">
        <f t="shared" ref="L109:L124" si="21">+K109/((1+DR_C)^A109)</f>
        <v>6736351.6893760152</v>
      </c>
      <c r="M109" s="17"/>
      <c r="N109" s="5">
        <f t="shared" ref="N109:N124" si="22">IF(Duration&gt;=A81,RR,1)</f>
        <v>0.50900000000000001</v>
      </c>
      <c r="O109">
        <f t="shared" ref="O109:O124" si="23">IF(Duration&gt;=A81,Cost_A_D,Cost_A_S)</f>
        <v>7119.5044500000004</v>
      </c>
      <c r="P109">
        <f t="shared" ref="P109:P124" si="24">IF(Duration&gt;=A81,Cost_B_D,Cost_B_S)</f>
        <v>7415.5044500000004</v>
      </c>
      <c r="Q109">
        <f t="shared" ref="Q109:Q124" si="25">IF(Duration&gt;=A81,Cost_C_D,Cost_C_S)</f>
        <v>13370.50445</v>
      </c>
    </row>
    <row r="110" spans="1:147" x14ac:dyDescent="0.25">
      <c r="A110">
        <v>3</v>
      </c>
      <c r="B110" s="17">
        <f t="shared" si="15"/>
        <v>530.76063449124092</v>
      </c>
      <c r="C110" s="17">
        <f t="shared" si="16"/>
        <v>246.95225857568602</v>
      </c>
      <c r="D110" s="17">
        <f t="shared" si="17"/>
        <v>178.39072384122494</v>
      </c>
      <c r="E110" s="17">
        <f t="shared" si="18"/>
        <v>43.89638309184798</v>
      </c>
      <c r="F110" s="17">
        <f t="shared" si="12"/>
        <v>999.99999999999977</v>
      </c>
      <c r="G110" s="17">
        <f t="shared" si="13"/>
        <v>970.83941690207587</v>
      </c>
      <c r="H110" s="17">
        <f t="shared" ref="H110:H125" si="26">+B110+C110+D110+(E110-E109)</f>
        <v>985.5752168959998</v>
      </c>
      <c r="I110" s="17">
        <f t="shared" si="19"/>
        <v>914.84366580545566</v>
      </c>
      <c r="J110" s="17">
        <f t="shared" si="20"/>
        <v>928.7295392571483</v>
      </c>
      <c r="K110" s="17">
        <f t="shared" si="14"/>
        <v>6001243.8907855367</v>
      </c>
      <c r="L110" s="17">
        <f t="shared" si="21"/>
        <v>5038760.0928833326</v>
      </c>
      <c r="M110" s="17"/>
      <c r="N110" s="5">
        <f t="shared" si="22"/>
        <v>1</v>
      </c>
      <c r="O110">
        <f t="shared" si="23"/>
        <v>5034</v>
      </c>
      <c r="P110">
        <f t="shared" si="24"/>
        <v>5330</v>
      </c>
      <c r="Q110">
        <f t="shared" si="25"/>
        <v>11285</v>
      </c>
    </row>
    <row r="111" spans="1:147" x14ac:dyDescent="0.25">
      <c r="A111">
        <v>4</v>
      </c>
      <c r="B111" s="17">
        <f t="shared" si="15"/>
        <v>382.6784174681847</v>
      </c>
      <c r="C111" s="17">
        <f t="shared" si="16"/>
        <v>250.69291039970423</v>
      </c>
      <c r="D111" s="17">
        <f t="shared" si="17"/>
        <v>269.86357463213608</v>
      </c>
      <c r="E111" s="17">
        <f t="shared" si="18"/>
        <v>96.765097499974857</v>
      </c>
      <c r="F111" s="17">
        <f t="shared" si="12"/>
        <v>999.99999999999989</v>
      </c>
      <c r="G111" s="17">
        <f t="shared" si="13"/>
        <v>929.6692597040884</v>
      </c>
      <c r="H111" s="17">
        <f t="shared" si="26"/>
        <v>956.10361690815182</v>
      </c>
      <c r="I111" s="17">
        <f t="shared" si="19"/>
        <v>858.87069329507767</v>
      </c>
      <c r="J111" s="17">
        <f t="shared" si="20"/>
        <v>883.29195328800267</v>
      </c>
      <c r="K111" s="17">
        <f t="shared" si="14"/>
        <v>6308006.8056889214</v>
      </c>
      <c r="L111" s="17">
        <f t="shared" si="21"/>
        <v>4996532.2184485011</v>
      </c>
      <c r="M111" s="17"/>
      <c r="N111" s="5">
        <f t="shared" si="22"/>
        <v>1</v>
      </c>
      <c r="O111">
        <f t="shared" si="23"/>
        <v>5034</v>
      </c>
      <c r="P111">
        <f t="shared" si="24"/>
        <v>5330</v>
      </c>
      <c r="Q111">
        <f t="shared" si="25"/>
        <v>11285</v>
      </c>
    </row>
    <row r="112" spans="1:147" x14ac:dyDescent="0.25">
      <c r="A112">
        <v>5</v>
      </c>
      <c r="B112" s="17">
        <f t="shared" si="15"/>
        <v>275.91113899456116</v>
      </c>
      <c r="C112" s="17">
        <f t="shared" si="16"/>
        <v>222.95362127080148</v>
      </c>
      <c r="D112" s="17">
        <f t="shared" si="17"/>
        <v>330.06914947715006</v>
      </c>
      <c r="E112" s="17">
        <f t="shared" si="18"/>
        <v>171.06609025748719</v>
      </c>
      <c r="F112" s="17">
        <f t="shared" si="12"/>
        <v>999.99999999999989</v>
      </c>
      <c r="G112" s="17">
        <f t="shared" si="13"/>
        <v>866.0844061212689</v>
      </c>
      <c r="H112" s="17">
        <f t="shared" si="26"/>
        <v>903.23490250002499</v>
      </c>
      <c r="I112" s="17">
        <f t="shared" si="19"/>
        <v>784.43933053727869</v>
      </c>
      <c r="J112" s="17">
        <f t="shared" si="20"/>
        <v>818.08767970799272</v>
      </c>
      <c r="K112" s="17">
        <f t="shared" si="14"/>
        <v>6302109.8269216307</v>
      </c>
      <c r="L112" s="17">
        <f t="shared" si="21"/>
        <v>4709303.0744666802</v>
      </c>
      <c r="M112" s="17"/>
      <c r="N112" s="5">
        <f t="shared" si="22"/>
        <v>1</v>
      </c>
      <c r="O112">
        <f t="shared" si="23"/>
        <v>5034</v>
      </c>
      <c r="P112">
        <f t="shared" si="24"/>
        <v>5330</v>
      </c>
      <c r="Q112">
        <f t="shared" si="25"/>
        <v>11285</v>
      </c>
    </row>
    <row r="113" spans="1:17" x14ac:dyDescent="0.25">
      <c r="A113">
        <v>6</v>
      </c>
      <c r="B113" s="17">
        <f t="shared" si="15"/>
        <v>198.93193121507858</v>
      </c>
      <c r="C113" s="17">
        <f t="shared" si="16"/>
        <v>185.27010403523701</v>
      </c>
      <c r="D113" s="17">
        <f t="shared" si="17"/>
        <v>356.78003227771433</v>
      </c>
      <c r="E113" s="17">
        <f t="shared" si="18"/>
        <v>259.01793247196997</v>
      </c>
      <c r="F113" s="17">
        <f t="shared" si="12"/>
        <v>999.99999999999989</v>
      </c>
      <c r="G113" s="17">
        <f t="shared" si="13"/>
        <v>784.95798863527125</v>
      </c>
      <c r="H113" s="17">
        <f t="shared" si="26"/>
        <v>828.9339097425127</v>
      </c>
      <c r="I113" s="17">
        <f t="shared" si="19"/>
        <v>697.02023012655502</v>
      </c>
      <c r="J113" s="17">
        <f t="shared" si="20"/>
        <v>736.06958957506311</v>
      </c>
      <c r="K113" s="17">
        <f t="shared" si="14"/>
        <v>6015175.660498525</v>
      </c>
      <c r="L113" s="17">
        <f t="shared" si="21"/>
        <v>4240461.4844646268</v>
      </c>
      <c r="M113" s="17"/>
      <c r="N113" s="5">
        <f t="shared" si="22"/>
        <v>1</v>
      </c>
      <c r="O113">
        <f t="shared" si="23"/>
        <v>5034</v>
      </c>
      <c r="P113">
        <f t="shared" si="24"/>
        <v>5330</v>
      </c>
      <c r="Q113">
        <f t="shared" si="25"/>
        <v>11285</v>
      </c>
    </row>
    <row r="114" spans="1:17" x14ac:dyDescent="0.25">
      <c r="A114">
        <v>7</v>
      </c>
      <c r="B114" s="17">
        <f t="shared" si="15"/>
        <v>143.42992240607165</v>
      </c>
      <c r="C114" s="17">
        <f t="shared" si="16"/>
        <v>147.82618054991858</v>
      </c>
      <c r="D114" s="17">
        <f t="shared" si="17"/>
        <v>356.31839594203745</v>
      </c>
      <c r="E114" s="17">
        <f t="shared" si="18"/>
        <v>352.4255011019722</v>
      </c>
      <c r="F114" s="17">
        <f t="shared" si="12"/>
        <v>1000</v>
      </c>
      <c r="G114" s="17">
        <f t="shared" si="13"/>
        <v>694.27828321302889</v>
      </c>
      <c r="H114" s="17">
        <f t="shared" si="26"/>
        <v>740.98206752803003</v>
      </c>
      <c r="I114" s="17">
        <f t="shared" si="19"/>
        <v>604.41102624169594</v>
      </c>
      <c r="J114" s="17">
        <f t="shared" si="20"/>
        <v>645.06948105690901</v>
      </c>
      <c r="K114" s="17">
        <f t="shared" si="14"/>
        <v>5530992.8699291237</v>
      </c>
      <c r="L114" s="17">
        <f t="shared" si="21"/>
        <v>3678426.1535407836</v>
      </c>
      <c r="M114" s="17"/>
      <c r="N114" s="5">
        <f t="shared" si="22"/>
        <v>1</v>
      </c>
      <c r="O114">
        <f t="shared" si="23"/>
        <v>5034</v>
      </c>
      <c r="P114">
        <f t="shared" si="24"/>
        <v>5330</v>
      </c>
      <c r="Q114">
        <f t="shared" si="25"/>
        <v>11285</v>
      </c>
    </row>
    <row r="115" spans="1:17" x14ac:dyDescent="0.25">
      <c r="A115">
        <v>8</v>
      </c>
      <c r="B115" s="17">
        <f t="shared" si="15"/>
        <v>103.41297405477766</v>
      </c>
      <c r="C115" s="17">
        <f t="shared" si="16"/>
        <v>114.85985522552916</v>
      </c>
      <c r="D115" s="17">
        <f t="shared" si="17"/>
        <v>337.0138572415517</v>
      </c>
      <c r="E115" s="17">
        <f t="shared" si="18"/>
        <v>444.71331347814129</v>
      </c>
      <c r="F115" s="17">
        <f t="shared" si="12"/>
        <v>999.99999999999977</v>
      </c>
      <c r="G115" s="17">
        <f t="shared" si="13"/>
        <v>601.43059270994308</v>
      </c>
      <c r="H115" s="17">
        <f t="shared" si="26"/>
        <v>647.57449889802763</v>
      </c>
      <c r="I115" s="17">
        <f t="shared" si="19"/>
        <v>513.31521981709818</v>
      </c>
      <c r="J115" s="17">
        <f t="shared" si="20"/>
        <v>552.69859943772815</v>
      </c>
      <c r="K115" s="17">
        <f t="shared" si="14"/>
        <v>4935985.3187147323</v>
      </c>
      <c r="L115" s="17">
        <f t="shared" si="21"/>
        <v>3096898.2537232516</v>
      </c>
      <c r="M115" s="17"/>
      <c r="N115" s="5">
        <f t="shared" si="22"/>
        <v>1</v>
      </c>
      <c r="O115">
        <f t="shared" si="23"/>
        <v>5034</v>
      </c>
      <c r="P115">
        <f t="shared" si="24"/>
        <v>5330</v>
      </c>
      <c r="Q115">
        <f t="shared" si="25"/>
        <v>11285</v>
      </c>
    </row>
    <row r="116" spans="1:17" x14ac:dyDescent="0.25">
      <c r="A116">
        <v>9</v>
      </c>
      <c r="B116" s="17">
        <f t="shared" si="15"/>
        <v>74.560754293494696</v>
      </c>
      <c r="C116" s="17">
        <f t="shared" si="16"/>
        <v>87.62299664509753</v>
      </c>
      <c r="D116" s="17">
        <f t="shared" si="17"/>
        <v>306.43702326962426</v>
      </c>
      <c r="E116" s="17">
        <f t="shared" si="18"/>
        <v>531.37922579178337</v>
      </c>
      <c r="F116" s="17">
        <f t="shared" si="12"/>
        <v>999.99999999999989</v>
      </c>
      <c r="G116" s="17">
        <f t="shared" si="13"/>
        <v>511.95373036503759</v>
      </c>
      <c r="H116" s="17">
        <f t="shared" si="26"/>
        <v>555.28668652185866</v>
      </c>
      <c r="I116" s="17">
        <f t="shared" si="19"/>
        <v>428.37997976609631</v>
      </c>
      <c r="J116" s="17">
        <f t="shared" si="20"/>
        <v>464.63905901614538</v>
      </c>
      <c r="K116" s="17">
        <f t="shared" si="14"/>
        <v>4300511.2168295318</v>
      </c>
      <c r="L116" s="17">
        <f t="shared" si="21"/>
        <v>2545465.9816350383</v>
      </c>
      <c r="M116" s="17"/>
      <c r="N116" s="5">
        <f t="shared" si="22"/>
        <v>1</v>
      </c>
      <c r="O116">
        <f t="shared" si="23"/>
        <v>5034</v>
      </c>
      <c r="P116">
        <f t="shared" si="24"/>
        <v>5330</v>
      </c>
      <c r="Q116">
        <f t="shared" si="25"/>
        <v>11285</v>
      </c>
    </row>
    <row r="117" spans="1:17" x14ac:dyDescent="0.25">
      <c r="A117">
        <v>10</v>
      </c>
      <c r="B117" s="17">
        <f t="shared" si="15"/>
        <v>53.758303845609674</v>
      </c>
      <c r="C117" s="17">
        <f t="shared" si="16"/>
        <v>65.970233418087588</v>
      </c>
      <c r="D117" s="17">
        <f t="shared" si="17"/>
        <v>270.48589762443703</v>
      </c>
      <c r="E117" s="17">
        <f t="shared" si="18"/>
        <v>609.78556511186559</v>
      </c>
      <c r="F117" s="17">
        <f t="shared" si="12"/>
        <v>999.99999999999989</v>
      </c>
      <c r="G117" s="17">
        <f t="shared" si="13"/>
        <v>429.4176045481754</v>
      </c>
      <c r="H117" s="17">
        <f t="shared" si="26"/>
        <v>468.62077420821652</v>
      </c>
      <c r="I117" s="17">
        <f t="shared" si="19"/>
        <v>352.27200182755746</v>
      </c>
      <c r="J117" s="17">
        <f t="shared" si="20"/>
        <v>384.43225540788944</v>
      </c>
      <c r="K117" s="17">
        <f t="shared" si="14"/>
        <v>3674674.0003689779</v>
      </c>
      <c r="L117" s="17">
        <f t="shared" si="21"/>
        <v>2051918.7686718192</v>
      </c>
      <c r="M117" s="17"/>
      <c r="N117" s="5">
        <f t="shared" si="22"/>
        <v>1</v>
      </c>
      <c r="O117">
        <f t="shared" si="23"/>
        <v>5034</v>
      </c>
      <c r="P117">
        <f t="shared" si="24"/>
        <v>5330</v>
      </c>
      <c r="Q117">
        <f t="shared" si="25"/>
        <v>11285</v>
      </c>
    </row>
    <row r="118" spans="1:17" x14ac:dyDescent="0.25">
      <c r="A118">
        <v>11</v>
      </c>
      <c r="B118" s="17">
        <f t="shared" si="15"/>
        <v>38.759737072684572</v>
      </c>
      <c r="C118" s="17">
        <f t="shared" si="16"/>
        <v>49.187882992722045</v>
      </c>
      <c r="D118" s="17">
        <f t="shared" si="17"/>
        <v>233.31611457714527</v>
      </c>
      <c r="E118" s="17">
        <f t="shared" si="18"/>
        <v>678.73626535744802</v>
      </c>
      <c r="F118" s="17">
        <f t="shared" si="12"/>
        <v>999.99999999999989</v>
      </c>
      <c r="G118" s="17">
        <f t="shared" si="13"/>
        <v>355.73908476534308</v>
      </c>
      <c r="H118" s="17">
        <f t="shared" si="26"/>
        <v>390.21443488813429</v>
      </c>
      <c r="I118" s="17">
        <f t="shared" si="19"/>
        <v>286.10779743764022</v>
      </c>
      <c r="J118" s="17">
        <f t="shared" si="20"/>
        <v>313.83504730120148</v>
      </c>
      <c r="K118" s="17">
        <f t="shared" si="14"/>
        <v>3090260.2857781867</v>
      </c>
      <c r="L118" s="17">
        <f t="shared" si="21"/>
        <v>1627910.5687610931</v>
      </c>
      <c r="M118" s="17"/>
      <c r="N118" s="5">
        <f t="shared" si="22"/>
        <v>1</v>
      </c>
      <c r="O118">
        <f t="shared" si="23"/>
        <v>5034</v>
      </c>
      <c r="P118">
        <f t="shared" si="24"/>
        <v>5330</v>
      </c>
      <c r="Q118">
        <f t="shared" si="25"/>
        <v>11285</v>
      </c>
    </row>
    <row r="119" spans="1:17" x14ac:dyDescent="0.25">
      <c r="A119">
        <v>12</v>
      </c>
      <c r="B119" s="17">
        <f t="shared" si="15"/>
        <v>27.945770429405577</v>
      </c>
      <c r="C119" s="17">
        <f t="shared" si="16"/>
        <v>36.407626907453789</v>
      </c>
      <c r="D119" s="17">
        <f t="shared" si="17"/>
        <v>197.60345669476669</v>
      </c>
      <c r="E119" s="17">
        <f t="shared" si="18"/>
        <v>738.04314596837389</v>
      </c>
      <c r="F119" s="17">
        <f t="shared" si="12"/>
        <v>1000</v>
      </c>
      <c r="G119" s="17">
        <f t="shared" si="13"/>
        <v>291.61029433708899</v>
      </c>
      <c r="H119" s="17">
        <f t="shared" si="26"/>
        <v>321.26373464255192</v>
      </c>
      <c r="I119" s="17">
        <f t="shared" si="19"/>
        <v>229.93272701415282</v>
      </c>
      <c r="J119" s="17">
        <f t="shared" si="20"/>
        <v>253.31426232752835</v>
      </c>
      <c r="K119" s="17">
        <f t="shared" si="14"/>
        <v>2564686.6685587987</v>
      </c>
      <c r="L119" s="17">
        <f t="shared" si="21"/>
        <v>1274570.7014480839</v>
      </c>
      <c r="M119" s="17"/>
      <c r="N119" s="5">
        <f t="shared" si="22"/>
        <v>1</v>
      </c>
      <c r="O119">
        <f t="shared" si="23"/>
        <v>5034</v>
      </c>
      <c r="P119">
        <f t="shared" si="24"/>
        <v>5330</v>
      </c>
      <c r="Q119">
        <f t="shared" si="25"/>
        <v>11285</v>
      </c>
    </row>
    <row r="120" spans="1:17" x14ac:dyDescent="0.25">
      <c r="A120">
        <v>13</v>
      </c>
      <c r="B120" s="17">
        <f t="shared" si="15"/>
        <v>20.148900479601419</v>
      </c>
      <c r="C120" s="17">
        <f t="shared" si="16"/>
        <v>26.797876859970579</v>
      </c>
      <c r="D120" s="17">
        <f t="shared" si="17"/>
        <v>164.89286329117888</v>
      </c>
      <c r="E120" s="17">
        <f t="shared" si="18"/>
        <v>788.16035936924902</v>
      </c>
      <c r="F120" s="17">
        <f t="shared" si="12"/>
        <v>999.99999999999989</v>
      </c>
      <c r="G120" s="17">
        <f t="shared" si="13"/>
        <v>236.89824733118843</v>
      </c>
      <c r="H120" s="17">
        <f t="shared" si="26"/>
        <v>261.95685403162599</v>
      </c>
      <c r="I120" s="17">
        <f t="shared" si="19"/>
        <v>183.13005032146808</v>
      </c>
      <c r="J120" s="17">
        <f t="shared" si="20"/>
        <v>202.50116833409533</v>
      </c>
      <c r="K120" s="17">
        <f t="shared" si="14"/>
        <v>2105078.2109189103</v>
      </c>
      <c r="L120" s="17">
        <f t="shared" si="21"/>
        <v>986942.81015111471</v>
      </c>
      <c r="M120" s="17"/>
      <c r="N120" s="5">
        <f t="shared" si="22"/>
        <v>1</v>
      </c>
      <c r="O120">
        <f t="shared" si="23"/>
        <v>5034</v>
      </c>
      <c r="P120">
        <f t="shared" si="24"/>
        <v>5330</v>
      </c>
      <c r="Q120">
        <f t="shared" si="25"/>
        <v>11285</v>
      </c>
    </row>
    <row r="121" spans="1:17" x14ac:dyDescent="0.25">
      <c r="A121">
        <v>14</v>
      </c>
      <c r="B121" s="17">
        <f t="shared" si="15"/>
        <v>14.527357245792622</v>
      </c>
      <c r="C121" s="17">
        <f t="shared" si="16"/>
        <v>19.639644352522392</v>
      </c>
      <c r="D121" s="17">
        <f t="shared" si="17"/>
        <v>135.92635968252549</v>
      </c>
      <c r="E121" s="17">
        <f t="shared" si="18"/>
        <v>829.90663871915945</v>
      </c>
      <c r="F121" s="17">
        <f t="shared" si="12"/>
        <v>1000</v>
      </c>
      <c r="G121" s="17">
        <f t="shared" si="13"/>
        <v>190.96650095579571</v>
      </c>
      <c r="H121" s="17">
        <f t="shared" si="26"/>
        <v>211.83964063075092</v>
      </c>
      <c r="I121" s="17">
        <f t="shared" si="19"/>
        <v>144.72874160741327</v>
      </c>
      <c r="J121" s="17">
        <f t="shared" si="20"/>
        <v>160.54797285180476</v>
      </c>
      <c r="K121" s="17">
        <f t="shared" si="14"/>
        <v>1711738.9897915644</v>
      </c>
      <c r="L121" s="17">
        <f t="shared" si="21"/>
        <v>757103.805951096</v>
      </c>
      <c r="M121" s="17"/>
      <c r="N121" s="5">
        <f t="shared" si="22"/>
        <v>1</v>
      </c>
      <c r="O121">
        <f t="shared" si="23"/>
        <v>5034</v>
      </c>
      <c r="P121">
        <f t="shared" si="24"/>
        <v>5330</v>
      </c>
      <c r="Q121">
        <f t="shared" si="25"/>
        <v>11285</v>
      </c>
    </row>
    <row r="122" spans="1:17" x14ac:dyDescent="0.25">
      <c r="A122">
        <v>15</v>
      </c>
      <c r="B122" s="17">
        <f t="shared" si="15"/>
        <v>10.47422457421648</v>
      </c>
      <c r="C122" s="17">
        <f t="shared" si="16"/>
        <v>14.345159532465619</v>
      </c>
      <c r="D122" s="17">
        <f t="shared" si="17"/>
        <v>110.91143794883884</v>
      </c>
      <c r="E122" s="17">
        <f t="shared" si="18"/>
        <v>864.269177944479</v>
      </c>
      <c r="F122" s="17">
        <f t="shared" si="12"/>
        <v>1000</v>
      </c>
      <c r="G122" s="17">
        <f t="shared" si="13"/>
        <v>152.91209166818072</v>
      </c>
      <c r="H122" s="17">
        <f t="shared" si="26"/>
        <v>170.0933612808405</v>
      </c>
      <c r="I122" s="17">
        <f t="shared" si="19"/>
        <v>113.61593650281301</v>
      </c>
      <c r="J122" s="17">
        <f t="shared" si="20"/>
        <v>126.38187290492337</v>
      </c>
      <c r="K122" s="17">
        <f t="shared" si="14"/>
        <v>1380822.5240672936</v>
      </c>
      <c r="L122" s="17">
        <f t="shared" si="21"/>
        <v>576168.99436994141</v>
      </c>
      <c r="M122" s="17"/>
      <c r="N122" s="5">
        <f t="shared" si="22"/>
        <v>1</v>
      </c>
      <c r="O122">
        <f t="shared" si="23"/>
        <v>5034</v>
      </c>
      <c r="P122">
        <f t="shared" si="24"/>
        <v>5330</v>
      </c>
      <c r="Q122">
        <f t="shared" si="25"/>
        <v>11285</v>
      </c>
    </row>
    <row r="123" spans="1:17" x14ac:dyDescent="0.25">
      <c r="A123">
        <v>16</v>
      </c>
      <c r="B123" s="17">
        <f t="shared" si="15"/>
        <v>7.5519159180100823</v>
      </c>
      <c r="C123" s="17">
        <f t="shared" si="16"/>
        <v>10.450331052354253</v>
      </c>
      <c r="D123" s="17">
        <f t="shared" si="17"/>
        <v>89.723831437815136</v>
      </c>
      <c r="E123" s="17">
        <f t="shared" si="18"/>
        <v>892.27392159182045</v>
      </c>
      <c r="F123" s="17">
        <f>SUM(B123:E123)</f>
        <v>999.99999999999989</v>
      </c>
      <c r="G123" s="17">
        <f t="shared" si="13"/>
        <v>121.7284502318502</v>
      </c>
      <c r="H123" s="17">
        <f t="shared" si="26"/>
        <v>135.73082205552095</v>
      </c>
      <c r="I123" s="17">
        <f t="shared" si="19"/>
        <v>88.672579981312822</v>
      </c>
      <c r="J123" s="17">
        <f t="shared" si="20"/>
        <v>98.872549118335925</v>
      </c>
      <c r="K123" s="17">
        <f t="shared" si="14"/>
        <v>1106250.0470160546</v>
      </c>
      <c r="L123" s="17">
        <f t="shared" si="21"/>
        <v>435471.21986495145</v>
      </c>
      <c r="M123" s="17"/>
      <c r="N123" s="5">
        <f t="shared" si="22"/>
        <v>1</v>
      </c>
      <c r="O123">
        <f t="shared" si="23"/>
        <v>5034</v>
      </c>
      <c r="P123">
        <f t="shared" si="24"/>
        <v>5330</v>
      </c>
      <c r="Q123">
        <f t="shared" si="25"/>
        <v>11285</v>
      </c>
    </row>
    <row r="124" spans="1:17" x14ac:dyDescent="0.25">
      <c r="A124">
        <v>17</v>
      </c>
      <c r="B124" s="17">
        <f t="shared" si="15"/>
        <v>5.4449313768852692</v>
      </c>
      <c r="C124" s="17">
        <f t="shared" si="16"/>
        <v>7.5971293568558567</v>
      </c>
      <c r="D124" s="17">
        <f t="shared" si="17"/>
        <v>72.052136683176201</v>
      </c>
      <c r="E124" s="17">
        <f t="shared" si="18"/>
        <v>914.90580258308262</v>
      </c>
      <c r="F124" s="17">
        <f>SUM(B124:E124)</f>
        <v>1000</v>
      </c>
      <c r="G124" s="17">
        <f>+B124+C124+D124+(0.5*(E124-E123))</f>
        <v>96.410137912548407</v>
      </c>
      <c r="H124" s="17">
        <f t="shared" si="26"/>
        <v>107.72607840817949</v>
      </c>
      <c r="I124" s="17">
        <f t="shared" si="19"/>
        <v>68.852511139223424</v>
      </c>
      <c r="J124" s="17">
        <f t="shared" si="20"/>
        <v>76.933932200284048</v>
      </c>
      <c r="K124" s="17">
        <f t="shared" si="14"/>
        <v>881010.84649292566</v>
      </c>
      <c r="L124" s="17">
        <f t="shared" si="21"/>
        <v>327176.08078545792</v>
      </c>
      <c r="M124" s="17"/>
      <c r="N124" s="5">
        <f t="shared" si="22"/>
        <v>1</v>
      </c>
      <c r="O124">
        <f t="shared" si="23"/>
        <v>5034</v>
      </c>
      <c r="P124">
        <f t="shared" si="24"/>
        <v>5330</v>
      </c>
      <c r="Q124">
        <f t="shared" si="25"/>
        <v>11285</v>
      </c>
    </row>
    <row r="125" spans="1:17" x14ac:dyDescent="0.25">
      <c r="A125">
        <v>18</v>
      </c>
      <c r="B125" s="17">
        <f>IF(Duration &gt;=A125,(B124*+$D$20)+(C124*+$D$25)+(D124*+$D$30),(B124*+TP_A_A)+(C124*+TP_B_A)+(D124*+TP_C_A))</f>
        <v>3.9257955227342789</v>
      </c>
      <c r="C125" s="17">
        <f>IF(Duration&gt;=A125,(B124*+$D$21)+(C124*+$D$26)+(D124*+$D$31),(B124*+TP_A_B)+(C124*+TP_B_B)+(D124*+TP_C_B))</f>
        <v>5.5138082944640763</v>
      </c>
      <c r="D125" s="17">
        <f>IF(Duration&gt;=A125,(B124*+$D$22)+(C124*+$D$27)+(D124*+$D$32),(B124*+TP_A_C)+(C124*+TP_B_C)+(D124*+TP_C_C))</f>
        <v>57.495944562873795</v>
      </c>
      <c r="E125" s="17">
        <f>IF(Duration&gt;=A125,(B124*+$D$23)+(C124*+$D$28)+(D124*+$D$33)+(E124*$D$35),(B124*+TP_A_D)+(C124*+TP_B_D)+(D124*+TP_C_D)+(E124*TP_D_D))</f>
        <v>933.06445161992781</v>
      </c>
      <c r="F125" s="17">
        <f>SUM(B125:E125)</f>
        <v>1000</v>
      </c>
      <c r="G125" s="17">
        <f>+B125+C125+D125+(0.5*(E125-E124))</f>
        <v>76.014872898494744</v>
      </c>
      <c r="H125" s="17">
        <f t="shared" si="26"/>
        <v>85.094197416917339</v>
      </c>
      <c r="I125" s="17">
        <f>+G125/((1+DR_B)^A125)</f>
        <v>53.222525896701377</v>
      </c>
      <c r="J125" s="17">
        <f>+H125/((1+DR_B)^A125)</f>
        <v>59.579500076630204</v>
      </c>
      <c r="K125" s="17">
        <f t="shared" si="14"/>
        <v>697992.7872629686</v>
      </c>
      <c r="L125" s="17">
        <f>+K125/((1+DR_C)^A125)</f>
        <v>244537.43927054861</v>
      </c>
      <c r="M125" s="17"/>
      <c r="N125" s="5">
        <f>IF(Duration&gt;=A97,RR,1)</f>
        <v>1</v>
      </c>
      <c r="O125">
        <f>IF(Duration&gt;=A97,Cost_A_D,Cost_A_S)</f>
        <v>5034</v>
      </c>
      <c r="P125">
        <f>IF(Duration&gt;=A97,Cost_B_D,Cost_B_S)</f>
        <v>5330</v>
      </c>
      <c r="Q125">
        <f>IF(Duration&gt;=A97,Cost_C_D,Cost_C_S)</f>
        <v>11285</v>
      </c>
    </row>
    <row r="126" spans="1:17" x14ac:dyDescent="0.25">
      <c r="A126">
        <v>19</v>
      </c>
      <c r="B126" s="17">
        <f>IF(Duration &gt;=A126,(B125*+$D$20)+(C125*+$D$25)+(D125*+$D$30),(B125*+TP_A_A)+(C125*+TP_B_A)+(D125*+TP_C_A))</f>
        <v>2.8304985718914151</v>
      </c>
      <c r="C126" s="17">
        <f>IF(Duration&gt;=A126,(B125*+$D$21)+(C125*+$D$26)+(D125*+$D$31),(B125*+TP_A_B)+(C125*+TP_B_B)+(D125*+TP_C_B))</f>
        <v>3.9965333146759523</v>
      </c>
      <c r="D126" s="17">
        <f>IF(Duration&gt;=A126,(B125*+$D$22)+(C125*+$D$27)+(D125*+$D$32),(B125*+TP_A_C)+(C125*+TP_B_C)+(D125*+TP_C_C))</f>
        <v>45.629106698025424</v>
      </c>
      <c r="E126" s="17">
        <f>IF(Duration&gt;=A126,(B125*+$D$23)+(C125*+$D$28)+(D125*+$D$33)+(E125*$D$35),(B125*+TP_A_D)+(C125*+TP_B_D)+(D125*+TP_C_D)+(E125*TP_D_D))</f>
        <v>947.54386141540715</v>
      </c>
      <c r="F126" s="17">
        <f>SUM(B126:E126)</f>
        <v>1000</v>
      </c>
      <c r="G126" s="17">
        <f>+B126+C126+D126+(0.5*(E126-E125))</f>
        <v>59.695843482332464</v>
      </c>
      <c r="H126" s="17">
        <f>+B126+C126+D126+(E126-E125)</f>
        <v>66.935548380072134</v>
      </c>
      <c r="I126" s="17">
        <f>+G126/((1+DR_B)^A126)</f>
        <v>40.977063196701543</v>
      </c>
      <c r="J126" s="17">
        <f>+H126/((1+DR_B)^A126)</f>
        <v>45.946619330169163</v>
      </c>
      <c r="K126" s="17">
        <f t="shared" si="14"/>
        <v>550474.72146534105</v>
      </c>
      <c r="L126" s="17">
        <f>+K126/((1+DR_C)^A126)</f>
        <v>181939.05739524562</v>
      </c>
      <c r="M126" s="17"/>
      <c r="N126" s="5">
        <f>IF(Duration&gt;=A98,RR,1)</f>
        <v>1</v>
      </c>
      <c r="O126">
        <f>IF(Duration&gt;=A98,Cost_A_D,Cost_A_S)</f>
        <v>5034</v>
      </c>
      <c r="P126">
        <f>IF(Duration&gt;=A98,Cost_B_D,Cost_B_S)</f>
        <v>5330</v>
      </c>
      <c r="Q126">
        <f>IF(Duration&gt;=A98,Cost_C_D,Cost_C_S)</f>
        <v>11285</v>
      </c>
    </row>
    <row r="127" spans="1:17" x14ac:dyDescent="0.25">
      <c r="A127">
        <v>20</v>
      </c>
      <c r="B127" s="17">
        <f>IF(Duration &gt;=A127,(B126*+$D$20)+(C126*+$D$25)+(D126*+$D$30),(B126*+TP_A_A)+(C126*+TP_B_A)+(D126*+TP_C_A))</f>
        <v>2.0407894703337104</v>
      </c>
      <c r="C127" s="17">
        <f>IF(Duration&gt;=A127,(B126*+$D$21)+(C126*+$D$26)+(D126*+$D$31),(B126*+TP_A_B)+(C126*+TP_B_B)+(D126*+TP_C_B))</f>
        <v>2.8937465673487943</v>
      </c>
      <c r="D127" s="17">
        <f>IF(Duration&gt;=A127,(B126*+$D$22)+(C126*+$D$27)+(D126*+$D$32),(B126*+TP_A_C)+(C126*+TP_B_C)+(D126*+TP_C_C))</f>
        <v>36.038062486908906</v>
      </c>
      <c r="E127" s="17">
        <f>IF(Duration&gt;=A127,(B126*+$D$23)+(C126*+$D$28)+(D126*+$D$33)+(E126*$D$35),(B126*+TP_A_D)+(C126*+TP_B_D)+(D126*+TP_C_D)+(E126*TP_D_D))</f>
        <v>959.02740147540851</v>
      </c>
      <c r="F127" s="17">
        <f>SUM(B127:E127)</f>
        <v>999.99999999999989</v>
      </c>
      <c r="G127" s="17">
        <f>+B127+C127+D127+(0.5*(E127-E126))</f>
        <v>46.714368554592092</v>
      </c>
      <c r="H127" s="17">
        <f>+B127+C127+D127+(E127-E126)</f>
        <v>52.456138584592772</v>
      </c>
      <c r="I127" s="17">
        <f>+G127/((1+DR_B)^A127)</f>
        <v>31.437430881484971</v>
      </c>
      <c r="J127" s="17">
        <f>+H127/((1+DR_B)^A127)</f>
        <v>35.301477512974422</v>
      </c>
      <c r="K127" s="17">
        <f t="shared" si="14"/>
        <v>432386.53856239596</v>
      </c>
      <c r="L127" s="17">
        <f>+K127/((1+DR_C)^A127)</f>
        <v>134820.16656566723</v>
      </c>
      <c r="M127" s="17"/>
      <c r="N127" s="5">
        <f>IF(Duration&gt;=A99,RR,1)</f>
        <v>1</v>
      </c>
      <c r="O127">
        <f>IF(Duration&gt;=A99,Cost_A_D,Cost_A_S)</f>
        <v>5034</v>
      </c>
      <c r="P127">
        <f>IF(Duration&gt;=A99,Cost_B_D,Cost_B_S)</f>
        <v>5330</v>
      </c>
      <c r="Q127">
        <f>IF(Duration&gt;=A99,Cost_C_D,Cost_C_S)</f>
        <v>11285</v>
      </c>
    </row>
    <row r="128" spans="1:17" x14ac:dyDescent="0.25">
      <c r="M128" s="17"/>
    </row>
    <row r="129" spans="1:61" ht="13.8" thickBot="1" x14ac:dyDescent="0.3">
      <c r="A129" s="21"/>
      <c r="B129" s="21"/>
      <c r="C129" s="21"/>
      <c r="D129" s="21"/>
      <c r="E129" s="21"/>
      <c r="F129" s="21"/>
      <c r="G129" s="28">
        <f t="shared" ref="G129:L129" si="27">SUM(G108:G127)/1000</f>
        <v>9.4050187827843033</v>
      </c>
      <c r="H129" s="28">
        <f t="shared" si="27"/>
        <v>9.8845324835220083</v>
      </c>
      <c r="I129" s="28">
        <f t="shared" si="27"/>
        <v>8.3239168513111448</v>
      </c>
      <c r="J129" s="28">
        <f t="shared" si="27"/>
        <v>8.7229011477090541</v>
      </c>
      <c r="K129" s="26">
        <f t="shared" si="27"/>
        <v>72485.244121183801</v>
      </c>
      <c r="L129" s="26">
        <f t="shared" si="27"/>
        <v>50552.907763046351</v>
      </c>
      <c r="M129" s="28"/>
    </row>
    <row r="130" spans="1:61" x14ac:dyDescent="0.25">
      <c r="M130" s="17"/>
    </row>
    <row r="131" spans="1:61" x14ac:dyDescent="0.25">
      <c r="A131" s="2" t="s">
        <v>93</v>
      </c>
      <c r="B131" s="2" t="s">
        <v>94</v>
      </c>
      <c r="C131" s="2" t="s">
        <v>95</v>
      </c>
      <c r="D131" s="2" t="s">
        <v>96</v>
      </c>
      <c r="F131" s="2" t="s">
        <v>97</v>
      </c>
      <c r="M131" s="17"/>
    </row>
    <row r="132" spans="1:61" x14ac:dyDescent="0.25">
      <c r="A132" t="s">
        <v>1</v>
      </c>
      <c r="B132" s="46">
        <f>SUM(B79:B99)/1000</f>
        <v>3.5805051618673662</v>
      </c>
      <c r="C132" s="46">
        <f>SUM(C79:C99)/1000</f>
        <v>1.7226227478633296</v>
      </c>
      <c r="D132" s="46">
        <f>SUM(D79:D99)/1000</f>
        <v>3.6760447720842913</v>
      </c>
      <c r="E132" s="14"/>
      <c r="F132" s="46">
        <f>SUM(B132:D132)</f>
        <v>8.9791726818149868</v>
      </c>
      <c r="M132" s="17"/>
    </row>
    <row r="133" spans="1:61" x14ac:dyDescent="0.25">
      <c r="A133" t="s">
        <v>98</v>
      </c>
      <c r="B133" s="46">
        <f>SUM(B107:B127)/1000</f>
        <v>4.4912281215515746</v>
      </c>
      <c r="C133" s="46">
        <f>SUM(C107:C127)/1000</f>
        <v>1.7709025146748947</v>
      </c>
      <c r="D133" s="46">
        <f>SUM(D107:D127)/1000</f>
        <v>3.6633744458201298</v>
      </c>
      <c r="E133" s="14"/>
      <c r="F133" s="46">
        <f>SUM(B133:D133)</f>
        <v>9.9255050820466</v>
      </c>
      <c r="M133" s="17"/>
    </row>
    <row r="134" spans="1:61" x14ac:dyDescent="0.25">
      <c r="M134" s="17"/>
    </row>
    <row r="135" spans="1:61" x14ac:dyDescent="0.25">
      <c r="M135" s="17"/>
      <c r="N135" s="23"/>
      <c r="O135" s="23"/>
      <c r="P135" s="23"/>
      <c r="Q135" s="23"/>
    </row>
    <row r="136" spans="1:61" x14ac:dyDescent="0.25">
      <c r="M136" s="17"/>
    </row>
    <row r="137" spans="1:61" x14ac:dyDescent="0.25">
      <c r="M137" s="17"/>
    </row>
    <row r="138" spans="1:61" x14ac:dyDescent="0.25">
      <c r="M138" s="17"/>
    </row>
    <row r="139" spans="1:61" x14ac:dyDescent="0.25">
      <c r="A139" s="2" t="s">
        <v>99</v>
      </c>
      <c r="M139" s="17"/>
    </row>
    <row r="140" spans="1:61" x14ac:dyDescent="0.25">
      <c r="M140" s="17"/>
    </row>
    <row r="141" spans="1:61" x14ac:dyDescent="0.25">
      <c r="A141" t="s">
        <v>100</v>
      </c>
      <c r="B141">
        <v>4100</v>
      </c>
      <c r="C141">
        <v>4200</v>
      </c>
      <c r="D141">
        <v>4300</v>
      </c>
      <c r="E141">
        <v>4400</v>
      </c>
      <c r="F141">
        <v>4500</v>
      </c>
      <c r="G141">
        <v>4600</v>
      </c>
      <c r="H141">
        <v>4700</v>
      </c>
      <c r="I141">
        <v>4800</v>
      </c>
      <c r="J141">
        <v>4900</v>
      </c>
      <c r="K141">
        <v>5000</v>
      </c>
      <c r="L141">
        <v>5100</v>
      </c>
      <c r="M141">
        <v>5200</v>
      </c>
      <c r="N141">
        <v>5300</v>
      </c>
      <c r="O141">
        <v>5400</v>
      </c>
      <c r="P141">
        <v>5500</v>
      </c>
      <c r="Q141">
        <v>5600</v>
      </c>
      <c r="R141">
        <v>5700</v>
      </c>
      <c r="S141">
        <v>5800</v>
      </c>
      <c r="T141">
        <v>5900</v>
      </c>
      <c r="U141">
        <v>6000</v>
      </c>
      <c r="V141">
        <v>6100</v>
      </c>
      <c r="W141">
        <v>6200</v>
      </c>
      <c r="X141">
        <v>6300</v>
      </c>
      <c r="Y141">
        <v>6400</v>
      </c>
      <c r="Z141">
        <v>6500</v>
      </c>
      <c r="AA141">
        <v>6600</v>
      </c>
      <c r="AB141">
        <v>6700</v>
      </c>
      <c r="AC141">
        <v>6800</v>
      </c>
      <c r="AD141">
        <v>6900</v>
      </c>
      <c r="AE141">
        <v>7000</v>
      </c>
      <c r="AF141">
        <v>7100</v>
      </c>
      <c r="AG141">
        <v>7200</v>
      </c>
      <c r="AH141">
        <v>7300</v>
      </c>
      <c r="AI141">
        <v>7400</v>
      </c>
      <c r="AJ141">
        <v>7500</v>
      </c>
      <c r="AK141">
        <v>7600</v>
      </c>
      <c r="AL141">
        <v>7700</v>
      </c>
      <c r="AM141">
        <v>7800</v>
      </c>
      <c r="AN141">
        <v>7900</v>
      </c>
      <c r="AO141">
        <v>8000</v>
      </c>
      <c r="AP141">
        <v>8100</v>
      </c>
      <c r="AQ141">
        <v>8200</v>
      </c>
      <c r="AR141">
        <v>8300</v>
      </c>
      <c r="AS141">
        <v>8400</v>
      </c>
      <c r="AT141">
        <v>8500</v>
      </c>
      <c r="AU141">
        <v>8600</v>
      </c>
      <c r="AV141">
        <v>8700</v>
      </c>
      <c r="AW141">
        <v>8800</v>
      </c>
      <c r="AX141">
        <v>8900</v>
      </c>
      <c r="AY141">
        <v>9000</v>
      </c>
      <c r="AZ141">
        <v>9100</v>
      </c>
      <c r="BA141">
        <v>9200</v>
      </c>
      <c r="BB141">
        <v>9300</v>
      </c>
      <c r="BC141">
        <v>9400</v>
      </c>
      <c r="BD141">
        <v>9500</v>
      </c>
      <c r="BE141">
        <v>9600</v>
      </c>
      <c r="BF141">
        <v>9700</v>
      </c>
      <c r="BG141">
        <v>9800</v>
      </c>
      <c r="BH141">
        <v>9900</v>
      </c>
      <c r="BI141">
        <v>10000</v>
      </c>
    </row>
    <row r="142" spans="1:61" x14ac:dyDescent="0.25">
      <c r="A142" s="52">
        <f>C6</f>
        <v>5939.0569409109157</v>
      </c>
      <c r="B142">
        <f t="dataTable" ref="B142:BI144" dt2D="0" dtr="1" r1="C43"/>
        <v>6290.3757083600794</v>
      </c>
      <c r="C142">
        <v>6278.0400774805312</v>
      </c>
      <c r="D142">
        <v>6265.7044466010411</v>
      </c>
      <c r="E142">
        <v>6253.3688157215001</v>
      </c>
      <c r="F142">
        <v>6241.033184841981</v>
      </c>
      <c r="G142">
        <v>6228.6975539624109</v>
      </c>
      <c r="H142">
        <v>6216.3619230828772</v>
      </c>
      <c r="I142">
        <v>6204.0262922033362</v>
      </c>
      <c r="J142">
        <v>6191.6906613238316</v>
      </c>
      <c r="K142">
        <v>6179.3550304442615</v>
      </c>
      <c r="L142">
        <v>6167.0193995647569</v>
      </c>
      <c r="M142" s="17">
        <v>6154.6837686852014</v>
      </c>
      <c r="N142">
        <v>6142.3481378056385</v>
      </c>
      <c r="O142">
        <v>6130.0125069261412</v>
      </c>
      <c r="P142">
        <v>6117.6768760466002</v>
      </c>
      <c r="Q142">
        <v>6105.341245167052</v>
      </c>
      <c r="R142">
        <v>6093.0056142875328</v>
      </c>
      <c r="S142">
        <v>6080.6699834079991</v>
      </c>
      <c r="T142">
        <v>6068.3343525284581</v>
      </c>
      <c r="U142">
        <v>6055.9987216489244</v>
      </c>
      <c r="V142">
        <v>6043.6630907693834</v>
      </c>
      <c r="W142">
        <v>6031.3274598898424</v>
      </c>
      <c r="X142">
        <v>6018.991829010316</v>
      </c>
      <c r="Y142">
        <v>6006.6561981307968</v>
      </c>
      <c r="Z142">
        <v>5994.320567251234</v>
      </c>
      <c r="AA142">
        <v>5981.9849363717149</v>
      </c>
      <c r="AB142">
        <v>5969.6493054921666</v>
      </c>
      <c r="AC142">
        <v>5957.3136746126329</v>
      </c>
      <c r="AD142">
        <v>5944.9780437331065</v>
      </c>
      <c r="AE142">
        <v>5932.6424128535655</v>
      </c>
      <c r="AF142">
        <v>5920.306781974039</v>
      </c>
      <c r="AG142">
        <v>5907.9711510945126</v>
      </c>
      <c r="AH142">
        <v>5895.6355202149571</v>
      </c>
      <c r="AI142">
        <v>5883.2998893354379</v>
      </c>
      <c r="AJ142">
        <v>5870.964258455926</v>
      </c>
      <c r="AK142">
        <v>5858.6286275763559</v>
      </c>
      <c r="AL142">
        <v>5846.2929966968295</v>
      </c>
      <c r="AM142">
        <v>5833.9573658172812</v>
      </c>
      <c r="AN142">
        <v>5821.6217349377403</v>
      </c>
      <c r="AO142">
        <v>5809.2861040582284</v>
      </c>
      <c r="AP142">
        <v>5796.9504731786947</v>
      </c>
      <c r="AQ142">
        <v>5784.6148422991537</v>
      </c>
      <c r="AR142">
        <v>5772.2792114195981</v>
      </c>
      <c r="AS142">
        <v>5759.9435805401081</v>
      </c>
      <c r="AT142">
        <v>5747.6079496605744</v>
      </c>
      <c r="AU142">
        <v>5735.2723187810261</v>
      </c>
      <c r="AV142">
        <v>5722.9366879014924</v>
      </c>
      <c r="AW142">
        <v>5710.601057021966</v>
      </c>
      <c r="AX142">
        <v>5698.2654261424177</v>
      </c>
      <c r="AY142">
        <v>5685.9297952628913</v>
      </c>
      <c r="AZ142">
        <v>5673.5941643833503</v>
      </c>
      <c r="BA142">
        <v>5661.2585335038093</v>
      </c>
      <c r="BB142">
        <v>5648.9229026242756</v>
      </c>
      <c r="BC142">
        <v>5636.5872717447346</v>
      </c>
      <c r="BD142">
        <v>5624.2516408652009</v>
      </c>
      <c r="BE142">
        <v>5611.9160099856526</v>
      </c>
      <c r="BF142">
        <v>5599.5803791061408</v>
      </c>
      <c r="BG142">
        <v>5587.2447482265998</v>
      </c>
      <c r="BH142">
        <v>5574.9091173470661</v>
      </c>
      <c r="BI142">
        <v>5562.5734864675323</v>
      </c>
    </row>
    <row r="143" spans="1:61" x14ac:dyDescent="0.25">
      <c r="A143" s="52">
        <f>C7</f>
        <v>0.77545765594202898</v>
      </c>
      <c r="B143">
        <v>0.77545765594202898</v>
      </c>
      <c r="C143">
        <v>0.77545765594202898</v>
      </c>
      <c r="D143">
        <v>0.77545765594202898</v>
      </c>
      <c r="E143">
        <v>0.77545765594202898</v>
      </c>
      <c r="F143">
        <v>0.77545765594202898</v>
      </c>
      <c r="G143">
        <v>0.77545765594202898</v>
      </c>
      <c r="H143">
        <v>0.77545765594202898</v>
      </c>
      <c r="I143">
        <v>0.77545765594202898</v>
      </c>
      <c r="J143">
        <v>0.77545765594202898</v>
      </c>
      <c r="K143">
        <v>0.77545765594202898</v>
      </c>
      <c r="L143">
        <v>0.77545765594202898</v>
      </c>
      <c r="M143" s="17">
        <v>0.77545765594202898</v>
      </c>
      <c r="N143">
        <v>0.77545765594202898</v>
      </c>
      <c r="O143">
        <v>0.77545765594202898</v>
      </c>
      <c r="P143">
        <v>0.77545765594202898</v>
      </c>
      <c r="Q143">
        <v>0.77545765594202898</v>
      </c>
      <c r="R143">
        <v>0.77545765594202898</v>
      </c>
      <c r="S143">
        <v>0.77545765594202898</v>
      </c>
      <c r="T143">
        <v>0.77545765594202898</v>
      </c>
      <c r="U143">
        <v>0.77545765594202898</v>
      </c>
      <c r="V143">
        <v>0.77545765594202898</v>
      </c>
      <c r="W143">
        <v>0.77545765594202898</v>
      </c>
      <c r="X143">
        <v>0.77545765594202898</v>
      </c>
      <c r="Y143">
        <v>0.77545765594202898</v>
      </c>
      <c r="Z143">
        <v>0.77545765594202898</v>
      </c>
      <c r="AA143">
        <v>0.77545765594202898</v>
      </c>
      <c r="AB143">
        <v>0.77545765594202898</v>
      </c>
      <c r="AC143">
        <v>0.77545765594202898</v>
      </c>
      <c r="AD143">
        <v>0.77545765594202898</v>
      </c>
      <c r="AE143">
        <v>0.77545765594202898</v>
      </c>
      <c r="AF143">
        <v>0.77545765594202898</v>
      </c>
      <c r="AG143">
        <v>0.77545765594202898</v>
      </c>
      <c r="AH143">
        <v>0.77545765594202898</v>
      </c>
      <c r="AI143">
        <v>0.77545765594202898</v>
      </c>
      <c r="AJ143">
        <v>0.77545765594202898</v>
      </c>
      <c r="AK143">
        <v>0.77545765594202898</v>
      </c>
      <c r="AL143">
        <v>0.77545765594202898</v>
      </c>
      <c r="AM143">
        <v>0.77545765594202898</v>
      </c>
      <c r="AN143">
        <v>0.77545765594202898</v>
      </c>
      <c r="AO143">
        <v>0.77545765594202898</v>
      </c>
      <c r="AP143">
        <v>0.77545765594202898</v>
      </c>
      <c r="AQ143">
        <v>0.77545765594202898</v>
      </c>
      <c r="AR143">
        <v>0.77545765594202898</v>
      </c>
      <c r="AS143">
        <v>0.77545765594202898</v>
      </c>
      <c r="AT143">
        <v>0.77545765594202898</v>
      </c>
      <c r="AU143">
        <v>0.77545765594202898</v>
      </c>
      <c r="AV143">
        <v>0.77545765594202898</v>
      </c>
      <c r="AW143">
        <v>0.77545765594202898</v>
      </c>
      <c r="AX143">
        <v>0.77545765594202898</v>
      </c>
      <c r="AY143">
        <v>0.77545765594202898</v>
      </c>
      <c r="AZ143">
        <v>0.77545765594202898</v>
      </c>
      <c r="BA143">
        <v>0.77545765594202898</v>
      </c>
      <c r="BB143">
        <v>0.77545765594202898</v>
      </c>
      <c r="BC143">
        <v>0.77545765594202898</v>
      </c>
      <c r="BD143">
        <v>0.77545765594202898</v>
      </c>
      <c r="BE143">
        <v>0.77545765594202898</v>
      </c>
      <c r="BF143">
        <v>0.77545765594202898</v>
      </c>
      <c r="BG143">
        <v>0.77545765594202898</v>
      </c>
      <c r="BH143">
        <v>0.77545765594202898</v>
      </c>
      <c r="BI143">
        <v>0.77545765594202898</v>
      </c>
    </row>
    <row r="144" spans="1:61" x14ac:dyDescent="0.25">
      <c r="A144" s="52">
        <f>C8</f>
        <v>7658.7765887695396</v>
      </c>
      <c r="B144">
        <v>8111.823592377209</v>
      </c>
      <c r="C144">
        <v>8095.9160430932152</v>
      </c>
      <c r="D144">
        <v>8080.0084938092959</v>
      </c>
      <c r="E144">
        <v>8064.1009445253121</v>
      </c>
      <c r="F144">
        <v>8048.1933952413556</v>
      </c>
      <c r="G144">
        <v>8032.2858459573335</v>
      </c>
      <c r="H144">
        <v>8016.3782966733579</v>
      </c>
      <c r="I144">
        <v>8000.4707473893732</v>
      </c>
      <c r="J144">
        <v>7984.5631981054357</v>
      </c>
      <c r="K144">
        <v>7968.6556488214137</v>
      </c>
      <c r="L144">
        <v>7952.7480995374763</v>
      </c>
      <c r="M144" s="17">
        <v>7936.8405502534724</v>
      </c>
      <c r="N144">
        <v>7920.9330009694595</v>
      </c>
      <c r="O144">
        <v>7905.0254516855321</v>
      </c>
      <c r="P144">
        <v>7889.1179024015473</v>
      </c>
      <c r="Q144">
        <v>7873.2103531175535</v>
      </c>
      <c r="R144">
        <v>7857.302803833597</v>
      </c>
      <c r="S144">
        <v>7841.3952545496213</v>
      </c>
      <c r="T144">
        <v>7825.4877052656366</v>
      </c>
      <c r="U144">
        <v>7809.5801559816618</v>
      </c>
      <c r="V144">
        <v>7793.6726066976771</v>
      </c>
      <c r="W144">
        <v>7777.7650574136924</v>
      </c>
      <c r="X144">
        <v>7761.8575081297267</v>
      </c>
      <c r="Y144">
        <v>7745.9499588457702</v>
      </c>
      <c r="Z144">
        <v>7730.0424095617573</v>
      </c>
      <c r="AA144">
        <v>7714.1348602778007</v>
      </c>
      <c r="AB144">
        <v>7698.2273109938069</v>
      </c>
      <c r="AC144">
        <v>7682.3197617098322</v>
      </c>
      <c r="AD144">
        <v>7666.4122124258665</v>
      </c>
      <c r="AE144">
        <v>7650.5046631418818</v>
      </c>
      <c r="AF144">
        <v>7634.5971138579162</v>
      </c>
      <c r="AG144">
        <v>7618.6895645739496</v>
      </c>
      <c r="AH144">
        <v>7602.7820152899467</v>
      </c>
      <c r="AI144">
        <v>7586.8744660059901</v>
      </c>
      <c r="AJ144">
        <v>7570.9669167220427</v>
      </c>
      <c r="AK144">
        <v>7555.0593674380207</v>
      </c>
      <c r="AL144">
        <v>7539.151818154055</v>
      </c>
      <c r="AM144">
        <v>7523.2442688700612</v>
      </c>
      <c r="AN144">
        <v>7507.3367195860765</v>
      </c>
      <c r="AO144">
        <v>7491.4291703021299</v>
      </c>
      <c r="AP144">
        <v>7475.5216210181543</v>
      </c>
      <c r="AQ144">
        <v>7459.6140717341696</v>
      </c>
      <c r="AR144">
        <v>7443.7065224501666</v>
      </c>
      <c r="AS144">
        <v>7427.7989731662474</v>
      </c>
      <c r="AT144">
        <v>7411.8914238822726</v>
      </c>
      <c r="AU144">
        <v>7395.9838745982779</v>
      </c>
      <c r="AV144">
        <v>7380.0763253143032</v>
      </c>
      <c r="AW144">
        <v>7364.1687760303375</v>
      </c>
      <c r="AX144">
        <v>7348.2612267463437</v>
      </c>
      <c r="AY144">
        <v>7332.3536774623772</v>
      </c>
      <c r="AZ144">
        <v>7316.4461281783933</v>
      </c>
      <c r="BA144">
        <v>7300.5385788944086</v>
      </c>
      <c r="BB144">
        <v>7284.631029610433</v>
      </c>
      <c r="BC144">
        <v>7268.7234803264482</v>
      </c>
      <c r="BD144">
        <v>7252.8159310424735</v>
      </c>
      <c r="BE144">
        <v>7236.9083817584797</v>
      </c>
      <c r="BF144">
        <v>7221.0008324745322</v>
      </c>
      <c r="BG144">
        <v>7205.0932831905475</v>
      </c>
      <c r="BH144">
        <v>7189.1857339065728</v>
      </c>
      <c r="BI144">
        <v>7173.2781846225971</v>
      </c>
    </row>
    <row r="145" spans="1:61" x14ac:dyDescent="0.25">
      <c r="M145" s="17"/>
    </row>
    <row r="146" spans="1:61" x14ac:dyDescent="0.25">
      <c r="A146" t="s">
        <v>101</v>
      </c>
      <c r="B146">
        <v>4100</v>
      </c>
      <c r="C146">
        <v>4200</v>
      </c>
      <c r="D146">
        <v>4300</v>
      </c>
      <c r="E146">
        <v>4400</v>
      </c>
      <c r="F146">
        <v>4500</v>
      </c>
      <c r="G146">
        <v>4600</v>
      </c>
      <c r="H146">
        <v>4700</v>
      </c>
      <c r="I146">
        <v>4800</v>
      </c>
      <c r="J146">
        <v>4900</v>
      </c>
      <c r="K146">
        <v>5000</v>
      </c>
      <c r="L146">
        <v>5100</v>
      </c>
      <c r="M146">
        <v>5200</v>
      </c>
      <c r="N146">
        <v>5300</v>
      </c>
      <c r="O146">
        <v>5400</v>
      </c>
      <c r="P146">
        <v>5500</v>
      </c>
      <c r="Q146">
        <v>5600</v>
      </c>
      <c r="R146">
        <v>5700</v>
      </c>
      <c r="S146">
        <v>5800</v>
      </c>
      <c r="T146">
        <v>5900</v>
      </c>
      <c r="U146">
        <v>6000</v>
      </c>
      <c r="V146">
        <v>6100</v>
      </c>
      <c r="W146">
        <v>6200</v>
      </c>
      <c r="X146">
        <v>6300</v>
      </c>
      <c r="Y146">
        <v>6400</v>
      </c>
      <c r="Z146">
        <v>6500</v>
      </c>
      <c r="AA146">
        <v>6600</v>
      </c>
      <c r="AB146">
        <v>6700</v>
      </c>
      <c r="AC146">
        <v>6800</v>
      </c>
      <c r="AD146">
        <v>6900</v>
      </c>
      <c r="AE146">
        <v>7000</v>
      </c>
      <c r="AF146">
        <v>7100</v>
      </c>
      <c r="AG146">
        <v>7200</v>
      </c>
      <c r="AH146">
        <v>7300</v>
      </c>
      <c r="AI146">
        <v>7400</v>
      </c>
      <c r="AJ146">
        <v>7500</v>
      </c>
      <c r="AK146">
        <v>7600</v>
      </c>
      <c r="AL146">
        <v>7700</v>
      </c>
      <c r="AM146">
        <v>7800</v>
      </c>
      <c r="AN146">
        <v>7900</v>
      </c>
      <c r="AO146">
        <v>8000</v>
      </c>
      <c r="AP146">
        <v>8100</v>
      </c>
      <c r="AQ146">
        <v>8200</v>
      </c>
      <c r="AR146">
        <v>8300</v>
      </c>
      <c r="AS146">
        <v>8400</v>
      </c>
      <c r="AT146">
        <v>8500</v>
      </c>
      <c r="AU146">
        <v>8600</v>
      </c>
      <c r="AV146">
        <v>8700</v>
      </c>
      <c r="AW146">
        <v>8800</v>
      </c>
      <c r="AX146">
        <v>8900</v>
      </c>
      <c r="AY146">
        <v>9000</v>
      </c>
      <c r="AZ146">
        <v>9100</v>
      </c>
      <c r="BA146">
        <v>9200</v>
      </c>
      <c r="BB146">
        <v>9300</v>
      </c>
      <c r="BC146">
        <v>9400</v>
      </c>
      <c r="BD146">
        <v>9500</v>
      </c>
      <c r="BE146">
        <v>9600</v>
      </c>
      <c r="BF146">
        <v>9700</v>
      </c>
      <c r="BG146">
        <v>9800</v>
      </c>
      <c r="BH146">
        <v>9900</v>
      </c>
      <c r="BI146">
        <v>10000</v>
      </c>
    </row>
    <row r="147" spans="1:61" x14ac:dyDescent="0.25">
      <c r="A147" t="s">
        <v>89</v>
      </c>
      <c r="B147">
        <v>6290.3757083600794</v>
      </c>
      <c r="C147">
        <v>6278.0400774805239</v>
      </c>
      <c r="D147">
        <v>6265.7044466010339</v>
      </c>
      <c r="E147">
        <v>6253.3688157214929</v>
      </c>
      <c r="F147">
        <v>6241.0331848419664</v>
      </c>
      <c r="G147">
        <v>6228.6975539623963</v>
      </c>
      <c r="H147">
        <v>6216.3619230828772</v>
      </c>
      <c r="I147">
        <v>6204.0262922033362</v>
      </c>
      <c r="J147">
        <v>6191.6906613238316</v>
      </c>
      <c r="K147">
        <v>6179.3550304442542</v>
      </c>
      <c r="L147">
        <v>6167.0193995647496</v>
      </c>
      <c r="M147" s="17">
        <v>6154.6837686851941</v>
      </c>
      <c r="N147">
        <v>6142.3481378056385</v>
      </c>
      <c r="O147">
        <v>6130.0125069261412</v>
      </c>
      <c r="P147">
        <v>6117.6768760465857</v>
      </c>
      <c r="Q147">
        <v>6105.341245167052</v>
      </c>
      <c r="R147">
        <v>6093.0056142875328</v>
      </c>
      <c r="S147">
        <v>6080.6699834079845</v>
      </c>
      <c r="T147">
        <v>6068.3343525284581</v>
      </c>
      <c r="U147">
        <v>6055.9987216489244</v>
      </c>
      <c r="V147">
        <v>6043.6630907693834</v>
      </c>
      <c r="W147">
        <v>6031.3274598898279</v>
      </c>
      <c r="X147">
        <v>6018.991829010316</v>
      </c>
      <c r="Y147">
        <v>6006.6561981307896</v>
      </c>
      <c r="Z147">
        <v>5994.320567251234</v>
      </c>
      <c r="AA147">
        <v>5981.9849363717076</v>
      </c>
      <c r="AB147">
        <v>5969.6493054921593</v>
      </c>
      <c r="AC147">
        <v>5957.3136746126329</v>
      </c>
      <c r="AD147">
        <v>5944.9780437331065</v>
      </c>
      <c r="AE147">
        <v>5932.6424128535582</v>
      </c>
      <c r="AF147">
        <v>5920.306781974039</v>
      </c>
      <c r="AG147">
        <v>5907.9711510945053</v>
      </c>
      <c r="AH147">
        <v>5895.6355202149571</v>
      </c>
      <c r="AI147">
        <v>5883.2998893354306</v>
      </c>
      <c r="AJ147">
        <v>5870.9642584559188</v>
      </c>
      <c r="AK147">
        <v>5858.6286275763559</v>
      </c>
      <c r="AL147">
        <v>5846.2929966968295</v>
      </c>
      <c r="AM147">
        <v>5833.9573658172812</v>
      </c>
      <c r="AN147">
        <v>5821.6217349377403</v>
      </c>
      <c r="AO147">
        <v>5809.2861040582284</v>
      </c>
      <c r="AP147">
        <v>5796.9504731786874</v>
      </c>
      <c r="AQ147">
        <v>5784.6148422991537</v>
      </c>
      <c r="AR147">
        <v>5772.2792114195981</v>
      </c>
      <c r="AS147">
        <v>5759.9435805401008</v>
      </c>
      <c r="AT147">
        <v>5747.6079496605671</v>
      </c>
      <c r="AU147">
        <v>5735.2723187810261</v>
      </c>
      <c r="AV147">
        <v>5722.9366879014851</v>
      </c>
      <c r="AW147">
        <v>5710.601057021966</v>
      </c>
      <c r="AX147">
        <v>5698.2654261423886</v>
      </c>
      <c r="AY147">
        <v>5685.9297952628767</v>
      </c>
      <c r="AZ147">
        <v>5673.594164383343</v>
      </c>
      <c r="BA147">
        <v>5661.2585335038093</v>
      </c>
      <c r="BB147">
        <v>5648.9229026242683</v>
      </c>
      <c r="BC147">
        <v>5636.5872717447273</v>
      </c>
      <c r="BD147">
        <v>5624.2516408651936</v>
      </c>
      <c r="BE147">
        <v>5611.9160099856454</v>
      </c>
      <c r="BF147">
        <v>5599.5803791061408</v>
      </c>
      <c r="BG147">
        <v>5587.2447482265852</v>
      </c>
      <c r="BH147">
        <v>5574.9091173470661</v>
      </c>
      <c r="BI147">
        <v>5562.5734864675178</v>
      </c>
    </row>
    <row r="148" spans="1:61" x14ac:dyDescent="0.25">
      <c r="A148" t="s">
        <v>88</v>
      </c>
      <c r="B148">
        <v>8865.3217264610357</v>
      </c>
      <c r="C148">
        <v>8864.054693834616</v>
      </c>
      <c r="D148">
        <v>8862.7876612082255</v>
      </c>
      <c r="E148">
        <v>8861.5206285818131</v>
      </c>
      <c r="F148">
        <v>8860.2535959553861</v>
      </c>
      <c r="G148">
        <v>8858.9865633289519</v>
      </c>
      <c r="H148">
        <v>8857.7195307025468</v>
      </c>
      <c r="I148">
        <v>8856.4524980761198</v>
      </c>
      <c r="J148">
        <v>8855.185465449722</v>
      </c>
      <c r="K148">
        <v>8853.918432823295</v>
      </c>
      <c r="L148">
        <v>8852.6514001969044</v>
      </c>
      <c r="M148" s="17">
        <v>8851.3843675704702</v>
      </c>
      <c r="N148">
        <v>8850.1173349440578</v>
      </c>
      <c r="O148">
        <v>8848.8503023176308</v>
      </c>
      <c r="P148">
        <v>8847.5832696912184</v>
      </c>
      <c r="Q148">
        <v>8846.3162370648133</v>
      </c>
      <c r="R148">
        <v>8845.0492044383791</v>
      </c>
      <c r="S148">
        <v>8843.7821718119885</v>
      </c>
      <c r="T148">
        <v>8842.5151391855616</v>
      </c>
      <c r="U148">
        <v>8841.2481065591637</v>
      </c>
      <c r="V148">
        <v>8839.9810739327077</v>
      </c>
      <c r="W148">
        <v>8838.7140413063025</v>
      </c>
      <c r="X148">
        <v>8837.4470086799047</v>
      </c>
      <c r="Y148">
        <v>8836.1799760534632</v>
      </c>
      <c r="Z148">
        <v>8834.9129434270217</v>
      </c>
      <c r="AA148">
        <v>8833.6459108006457</v>
      </c>
      <c r="AB148">
        <v>8832.378878174226</v>
      </c>
      <c r="AC148">
        <v>8831.1118455477917</v>
      </c>
      <c r="AD148">
        <v>8829.8448129213939</v>
      </c>
      <c r="AE148">
        <v>8828.5777802949669</v>
      </c>
      <c r="AF148">
        <v>8827.3107476685764</v>
      </c>
      <c r="AG148">
        <v>8826.0437150421421</v>
      </c>
      <c r="AH148">
        <v>8824.7766824157297</v>
      </c>
      <c r="AI148">
        <v>8823.5096497893246</v>
      </c>
      <c r="AJ148">
        <v>8822.2426171629049</v>
      </c>
      <c r="AK148">
        <v>8820.9755845364707</v>
      </c>
      <c r="AL148">
        <v>8819.7085519100801</v>
      </c>
      <c r="AM148">
        <v>8818.4415192836605</v>
      </c>
      <c r="AN148">
        <v>8817.1744866572262</v>
      </c>
      <c r="AO148">
        <v>8815.9074540308211</v>
      </c>
      <c r="AP148">
        <v>8814.6404214044014</v>
      </c>
      <c r="AQ148">
        <v>8813.3733887780254</v>
      </c>
      <c r="AR148">
        <v>8812.1063561515766</v>
      </c>
      <c r="AS148">
        <v>8810.8393235251278</v>
      </c>
      <c r="AT148">
        <v>8809.5722908987082</v>
      </c>
      <c r="AU148">
        <v>8808.3052582723467</v>
      </c>
      <c r="AV148">
        <v>8807.0382256458834</v>
      </c>
      <c r="AW148">
        <v>8805.7711930195073</v>
      </c>
      <c r="AX148">
        <v>8804.5041603930586</v>
      </c>
      <c r="AY148">
        <v>8803.237127766668</v>
      </c>
      <c r="AZ148">
        <v>8801.9700951402483</v>
      </c>
      <c r="BA148">
        <v>8800.7030625138432</v>
      </c>
      <c r="BB148">
        <v>8799.4360298873798</v>
      </c>
      <c r="BC148">
        <v>8798.1689972609747</v>
      </c>
      <c r="BD148">
        <v>8796.9019646345696</v>
      </c>
      <c r="BE148">
        <v>8795.6349320081354</v>
      </c>
      <c r="BF148">
        <v>8794.3678993817448</v>
      </c>
      <c r="BG148">
        <v>8793.1008667553251</v>
      </c>
      <c r="BH148">
        <v>8791.8338341289345</v>
      </c>
      <c r="BI148">
        <v>8790.5668015025003</v>
      </c>
    </row>
    <row r="149" spans="1:61" x14ac:dyDescent="0.25">
      <c r="M149" s="17"/>
    </row>
    <row r="150" spans="1:61" x14ac:dyDescent="0.25">
      <c r="M150" s="17"/>
    </row>
    <row r="151" spans="1:61" x14ac:dyDescent="0.25">
      <c r="M151" s="17"/>
    </row>
    <row r="152" spans="1:61" x14ac:dyDescent="0.25">
      <c r="M152" s="17"/>
    </row>
    <row r="153" spans="1:61" x14ac:dyDescent="0.25">
      <c r="M153" s="17"/>
    </row>
    <row r="154" spans="1:61" x14ac:dyDescent="0.25">
      <c r="M154" s="17"/>
    </row>
    <row r="155" spans="1:61" x14ac:dyDescent="0.25">
      <c r="M155" s="17"/>
    </row>
    <row r="156" spans="1:61" x14ac:dyDescent="0.25">
      <c r="M156" s="17"/>
    </row>
    <row r="157" spans="1:61" x14ac:dyDescent="0.25">
      <c r="M157" s="17"/>
    </row>
    <row r="158" spans="1:61" x14ac:dyDescent="0.25">
      <c r="M158" s="17"/>
    </row>
    <row r="159" spans="1:61" x14ac:dyDescent="0.25">
      <c r="M159" s="17"/>
    </row>
    <row r="160" spans="1:61" x14ac:dyDescent="0.25">
      <c r="M160" s="17"/>
    </row>
    <row r="161" spans="13:13" x14ac:dyDescent="0.25">
      <c r="M161" s="17"/>
    </row>
    <row r="162" spans="13:13" x14ac:dyDescent="0.25">
      <c r="M162" s="17"/>
    </row>
    <row r="163" spans="13:13" x14ac:dyDescent="0.25">
      <c r="M163" s="17"/>
    </row>
    <row r="164" spans="13:13" x14ac:dyDescent="0.25">
      <c r="M164" s="17"/>
    </row>
    <row r="165" spans="13:13" x14ac:dyDescent="0.25">
      <c r="M165" s="17"/>
    </row>
    <row r="166" spans="13:13" x14ac:dyDescent="0.25">
      <c r="M166" s="17"/>
    </row>
    <row r="167" spans="13:13" x14ac:dyDescent="0.25">
      <c r="M167" s="17"/>
    </row>
    <row r="168" spans="13:13" x14ac:dyDescent="0.25">
      <c r="M168" s="17"/>
    </row>
    <row r="169" spans="13:13" x14ac:dyDescent="0.25">
      <c r="M169" s="17"/>
    </row>
    <row r="170" spans="13:13" x14ac:dyDescent="0.25">
      <c r="M170" s="17"/>
    </row>
    <row r="171" spans="13:13" x14ac:dyDescent="0.25">
      <c r="M171" s="17"/>
    </row>
    <row r="172" spans="13:13" x14ac:dyDescent="0.25">
      <c r="M172" s="17"/>
    </row>
    <row r="173" spans="13:13" x14ac:dyDescent="0.25">
      <c r="M173" s="17"/>
    </row>
    <row r="174" spans="13:13" x14ac:dyDescent="0.25">
      <c r="M174" s="17"/>
    </row>
    <row r="175" spans="13:13" x14ac:dyDescent="0.25">
      <c r="M175" s="17"/>
    </row>
    <row r="176" spans="13:13" x14ac:dyDescent="0.25">
      <c r="M176" s="17"/>
    </row>
    <row r="177" spans="13:13" x14ac:dyDescent="0.25">
      <c r="M177" s="17"/>
    </row>
    <row r="178" spans="13:13" x14ac:dyDescent="0.25">
      <c r="M178" s="17"/>
    </row>
    <row r="179" spans="13:13" x14ac:dyDescent="0.25">
      <c r="M179" s="17"/>
    </row>
    <row r="180" spans="13:13" x14ac:dyDescent="0.25">
      <c r="M180" s="17"/>
    </row>
    <row r="181" spans="13:13" x14ac:dyDescent="0.25">
      <c r="M181" s="17"/>
    </row>
    <row r="182" spans="13:13" x14ac:dyDescent="0.25">
      <c r="M182" s="17"/>
    </row>
    <row r="183" spans="13:13" x14ac:dyDescent="0.25">
      <c r="M183" s="17"/>
    </row>
    <row r="184" spans="13:13" x14ac:dyDescent="0.25">
      <c r="M184" s="17"/>
    </row>
    <row r="185" spans="13:13" x14ac:dyDescent="0.25">
      <c r="M185" s="17"/>
    </row>
    <row r="186" spans="13:13" x14ac:dyDescent="0.25">
      <c r="M186" s="17"/>
    </row>
    <row r="187" spans="13:13" x14ac:dyDescent="0.25">
      <c r="M187" s="17"/>
    </row>
    <row r="188" spans="13:13" x14ac:dyDescent="0.25">
      <c r="M188" s="17"/>
    </row>
    <row r="189" spans="13:13" x14ac:dyDescent="0.25">
      <c r="M189" s="17"/>
    </row>
    <row r="190" spans="13:13" x14ac:dyDescent="0.25">
      <c r="M190" s="17"/>
    </row>
    <row r="191" spans="13:13" x14ac:dyDescent="0.25">
      <c r="M191" s="17"/>
    </row>
    <row r="192" spans="13:13" x14ac:dyDescent="0.25">
      <c r="M192" s="17"/>
    </row>
    <row r="193" spans="13:13" x14ac:dyDescent="0.25">
      <c r="M193" s="17"/>
    </row>
    <row r="194" spans="13:13" x14ac:dyDescent="0.25">
      <c r="M194" s="17"/>
    </row>
    <row r="195" spans="13:13" x14ac:dyDescent="0.25">
      <c r="M195" s="17"/>
    </row>
    <row r="196" spans="13:13" x14ac:dyDescent="0.25">
      <c r="M196" s="17"/>
    </row>
    <row r="197" spans="13:13" x14ac:dyDescent="0.25">
      <c r="M197" s="17"/>
    </row>
    <row r="198" spans="13:13" x14ac:dyDescent="0.25">
      <c r="M198" s="17"/>
    </row>
    <row r="199" spans="13:13" x14ac:dyDescent="0.25">
      <c r="M199" s="17"/>
    </row>
    <row r="200" spans="13:13" x14ac:dyDescent="0.25">
      <c r="M200" s="17"/>
    </row>
    <row r="201" spans="13:13" x14ac:dyDescent="0.25">
      <c r="M201" s="17"/>
    </row>
    <row r="202" spans="13:13" x14ac:dyDescent="0.25">
      <c r="M202" s="17"/>
    </row>
    <row r="203" spans="13:13" x14ac:dyDescent="0.25">
      <c r="M203" s="17"/>
    </row>
    <row r="204" spans="13:13" x14ac:dyDescent="0.25">
      <c r="M204" s="17"/>
    </row>
    <row r="205" spans="13:13" x14ac:dyDescent="0.25">
      <c r="M205" s="17"/>
    </row>
    <row r="206" spans="13:13" x14ac:dyDescent="0.25">
      <c r="M206" s="17"/>
    </row>
    <row r="207" spans="13:13" x14ac:dyDescent="0.25">
      <c r="M207" s="17"/>
    </row>
    <row r="208" spans="13:13" x14ac:dyDescent="0.25">
      <c r="M208" s="17"/>
    </row>
    <row r="209" spans="13:13" x14ac:dyDescent="0.25">
      <c r="M209" s="17"/>
    </row>
    <row r="210" spans="13:13" x14ac:dyDescent="0.25">
      <c r="M210" s="17"/>
    </row>
    <row r="211" spans="13:13" x14ac:dyDescent="0.25">
      <c r="M211" s="17"/>
    </row>
    <row r="212" spans="13:13" x14ac:dyDescent="0.25">
      <c r="M212" s="17"/>
    </row>
    <row r="213" spans="13:13" x14ac:dyDescent="0.25">
      <c r="M213" s="17"/>
    </row>
    <row r="214" spans="13:13" x14ac:dyDescent="0.25">
      <c r="M214" s="17"/>
    </row>
    <row r="215" spans="13:13" x14ac:dyDescent="0.25">
      <c r="M215" s="17"/>
    </row>
    <row r="216" spans="13:13" x14ac:dyDescent="0.25">
      <c r="M216" s="17"/>
    </row>
    <row r="217" spans="13:13" x14ac:dyDescent="0.25">
      <c r="M217" s="17"/>
    </row>
    <row r="218" spans="13:13" x14ac:dyDescent="0.25">
      <c r="M218" s="17"/>
    </row>
    <row r="219" spans="13:13" x14ac:dyDescent="0.25">
      <c r="M219" s="17"/>
    </row>
    <row r="220" spans="13:13" x14ac:dyDescent="0.25">
      <c r="M220" s="17"/>
    </row>
    <row r="221" spans="13:13" x14ac:dyDescent="0.25">
      <c r="M221" s="17"/>
    </row>
    <row r="222" spans="13:13" x14ac:dyDescent="0.25">
      <c r="M222" s="17"/>
    </row>
    <row r="223" spans="13:13" x14ac:dyDescent="0.25">
      <c r="M223" s="17"/>
    </row>
    <row r="224" spans="13:13" x14ac:dyDescent="0.25">
      <c r="M224" s="17"/>
    </row>
    <row r="225" spans="13:13" x14ac:dyDescent="0.25">
      <c r="M225" s="17"/>
    </row>
    <row r="226" spans="13:13" x14ac:dyDescent="0.25">
      <c r="M226" s="17"/>
    </row>
    <row r="227" spans="13:13" x14ac:dyDescent="0.25">
      <c r="M227" s="17"/>
    </row>
    <row r="228" spans="13:13" x14ac:dyDescent="0.25">
      <c r="M228" s="17"/>
    </row>
    <row r="229" spans="13:13" x14ac:dyDescent="0.25">
      <c r="M229" s="17"/>
    </row>
    <row r="230" spans="13:13" x14ac:dyDescent="0.25">
      <c r="M230" s="17"/>
    </row>
    <row r="231" spans="13:13" x14ac:dyDescent="0.25">
      <c r="M231" s="17"/>
    </row>
    <row r="232" spans="13:13" x14ac:dyDescent="0.25">
      <c r="M232" s="17"/>
    </row>
    <row r="233" spans="13:13" x14ac:dyDescent="0.25">
      <c r="M233" s="17"/>
    </row>
    <row r="234" spans="13:13" x14ac:dyDescent="0.25">
      <c r="M234" s="17"/>
    </row>
    <row r="235" spans="13:13" x14ac:dyDescent="0.25">
      <c r="M235" s="17"/>
    </row>
    <row r="236" spans="13:13" x14ac:dyDescent="0.25">
      <c r="M236" s="17"/>
    </row>
    <row r="237" spans="13:13" x14ac:dyDescent="0.25">
      <c r="M237" s="17"/>
    </row>
    <row r="238" spans="13:13" x14ac:dyDescent="0.25">
      <c r="M238" s="17"/>
    </row>
    <row r="239" spans="13:13" x14ac:dyDescent="0.25">
      <c r="M239" s="17"/>
    </row>
    <row r="240" spans="13:13" x14ac:dyDescent="0.25">
      <c r="M240" s="17"/>
    </row>
    <row r="241" spans="13:13" x14ac:dyDescent="0.25">
      <c r="M241" s="17"/>
    </row>
    <row r="242" spans="13:13" x14ac:dyDescent="0.25">
      <c r="M242" s="17"/>
    </row>
    <row r="243" spans="13:13" x14ac:dyDescent="0.25">
      <c r="M243" s="17"/>
    </row>
    <row r="244" spans="13:13" x14ac:dyDescent="0.25">
      <c r="M244" s="17"/>
    </row>
    <row r="245" spans="13:13" x14ac:dyDescent="0.25">
      <c r="M245" s="17"/>
    </row>
    <row r="246" spans="13:13" x14ac:dyDescent="0.25">
      <c r="M246" s="17"/>
    </row>
    <row r="247" spans="13:13" x14ac:dyDescent="0.25">
      <c r="M247" s="17"/>
    </row>
    <row r="248" spans="13:13" x14ac:dyDescent="0.25">
      <c r="M248" s="17"/>
    </row>
    <row r="249" spans="13:13" x14ac:dyDescent="0.25">
      <c r="M249" s="17"/>
    </row>
    <row r="250" spans="13:13" x14ac:dyDescent="0.25">
      <c r="M250" s="17"/>
    </row>
    <row r="251" spans="13:13" x14ac:dyDescent="0.25">
      <c r="M251" s="17"/>
    </row>
    <row r="252" spans="13:13" x14ac:dyDescent="0.25">
      <c r="M252" s="17"/>
    </row>
    <row r="253" spans="13:13" x14ac:dyDescent="0.25">
      <c r="M253" s="17"/>
    </row>
    <row r="254" spans="13:13" x14ac:dyDescent="0.25">
      <c r="M254" s="17"/>
    </row>
    <row r="255" spans="13:13" x14ac:dyDescent="0.25">
      <c r="M255" s="17"/>
    </row>
    <row r="256" spans="13:13" x14ac:dyDescent="0.25">
      <c r="M256" s="17"/>
    </row>
    <row r="257" spans="13:13" x14ac:dyDescent="0.25">
      <c r="M257" s="17"/>
    </row>
    <row r="258" spans="13:13" x14ac:dyDescent="0.25">
      <c r="M258" s="17"/>
    </row>
    <row r="259" spans="13:13" x14ac:dyDescent="0.25">
      <c r="M259" s="17"/>
    </row>
    <row r="260" spans="13:13" x14ac:dyDescent="0.25">
      <c r="M260" s="17"/>
    </row>
    <row r="261" spans="13:13" x14ac:dyDescent="0.25">
      <c r="M261" s="17"/>
    </row>
    <row r="262" spans="13:13" x14ac:dyDescent="0.25">
      <c r="M262" s="17"/>
    </row>
    <row r="263" spans="13:13" x14ac:dyDescent="0.25">
      <c r="M263" s="17"/>
    </row>
    <row r="264" spans="13:13" x14ac:dyDescent="0.25">
      <c r="M264" s="17"/>
    </row>
    <row r="265" spans="13:13" x14ac:dyDescent="0.25">
      <c r="M265" s="17"/>
    </row>
    <row r="266" spans="13:13" x14ac:dyDescent="0.25">
      <c r="M266" s="17"/>
    </row>
    <row r="267" spans="13:13" x14ac:dyDescent="0.25">
      <c r="M267" s="17"/>
    </row>
    <row r="268" spans="13:13" x14ac:dyDescent="0.25">
      <c r="M268" s="17"/>
    </row>
    <row r="269" spans="13:13" x14ac:dyDescent="0.25">
      <c r="M269" s="17"/>
    </row>
    <row r="270" spans="13:13" x14ac:dyDescent="0.25">
      <c r="M270" s="17"/>
    </row>
    <row r="271" spans="13:13" x14ac:dyDescent="0.25">
      <c r="M271" s="17"/>
    </row>
    <row r="272" spans="13:13" x14ac:dyDescent="0.25">
      <c r="M272" s="17"/>
    </row>
    <row r="273" spans="13:13" x14ac:dyDescent="0.25">
      <c r="M273" s="17"/>
    </row>
    <row r="274" spans="13:13" x14ac:dyDescent="0.25">
      <c r="M274" s="17"/>
    </row>
    <row r="275" spans="13:13" x14ac:dyDescent="0.25">
      <c r="M275" s="17"/>
    </row>
    <row r="276" spans="13:13" x14ac:dyDescent="0.25">
      <c r="M276" s="17"/>
    </row>
    <row r="277" spans="13:13" x14ac:dyDescent="0.25">
      <c r="M277" s="17"/>
    </row>
    <row r="278" spans="13:13" x14ac:dyDescent="0.25">
      <c r="M278" s="17"/>
    </row>
    <row r="279" spans="13:13" x14ac:dyDescent="0.25">
      <c r="M279" s="17"/>
    </row>
    <row r="280" spans="13:13" x14ac:dyDescent="0.25">
      <c r="M280" s="17"/>
    </row>
    <row r="281" spans="13:13" x14ac:dyDescent="0.25">
      <c r="M281" s="17"/>
    </row>
    <row r="282" spans="13:13" x14ac:dyDescent="0.25">
      <c r="M282" s="17"/>
    </row>
    <row r="283" spans="13:13" x14ac:dyDescent="0.25">
      <c r="M283" s="17"/>
    </row>
    <row r="284" spans="13:13" x14ac:dyDescent="0.25">
      <c r="M284" s="17"/>
    </row>
    <row r="285" spans="13:13" x14ac:dyDescent="0.25">
      <c r="M285" s="17"/>
    </row>
    <row r="286" spans="13:13" x14ac:dyDescent="0.25">
      <c r="M286" s="17"/>
    </row>
    <row r="287" spans="13:13" x14ac:dyDescent="0.25">
      <c r="M287" s="17"/>
    </row>
    <row r="288" spans="13:13" x14ac:dyDescent="0.25">
      <c r="M288" s="17"/>
    </row>
    <row r="289" spans="13:13" x14ac:dyDescent="0.25">
      <c r="M289" s="17"/>
    </row>
    <row r="290" spans="13:13" x14ac:dyDescent="0.25">
      <c r="M290" s="17"/>
    </row>
    <row r="291" spans="13:13" x14ac:dyDescent="0.25">
      <c r="M291" s="17"/>
    </row>
    <row r="292" spans="13:13" x14ac:dyDescent="0.25">
      <c r="M292" s="17"/>
    </row>
    <row r="293" spans="13:13" x14ac:dyDescent="0.25">
      <c r="M293" s="17"/>
    </row>
    <row r="294" spans="13:13" x14ac:dyDescent="0.25">
      <c r="M294" s="17"/>
    </row>
    <row r="295" spans="13:13" x14ac:dyDescent="0.25">
      <c r="M295" s="17"/>
    </row>
    <row r="296" spans="13:13" x14ac:dyDescent="0.25">
      <c r="M296" s="17"/>
    </row>
    <row r="297" spans="13:13" x14ac:dyDescent="0.25">
      <c r="M297" s="17"/>
    </row>
    <row r="298" spans="13:13" x14ac:dyDescent="0.25">
      <c r="M298" s="17"/>
    </row>
    <row r="299" spans="13:13" x14ac:dyDescent="0.25">
      <c r="M299" s="17"/>
    </row>
    <row r="300" spans="13:13" x14ac:dyDescent="0.25">
      <c r="M300" s="17"/>
    </row>
    <row r="301" spans="13:13" x14ac:dyDescent="0.25">
      <c r="M301" s="17"/>
    </row>
    <row r="302" spans="13:13" x14ac:dyDescent="0.25">
      <c r="M302" s="17"/>
    </row>
    <row r="303" spans="13:13" x14ac:dyDescent="0.25">
      <c r="M303" s="17"/>
    </row>
    <row r="304" spans="13:13" x14ac:dyDescent="0.25">
      <c r="M304" s="17"/>
    </row>
    <row r="305" spans="13:13" x14ac:dyDescent="0.25">
      <c r="M305" s="17"/>
    </row>
    <row r="306" spans="13:13" x14ac:dyDescent="0.25">
      <c r="M306" s="17"/>
    </row>
    <row r="307" spans="13:13" x14ac:dyDescent="0.25">
      <c r="M307" s="17"/>
    </row>
    <row r="308" spans="13:13" x14ac:dyDescent="0.25">
      <c r="M308" s="17"/>
    </row>
    <row r="309" spans="13:13" x14ac:dyDescent="0.25">
      <c r="M309" s="17"/>
    </row>
    <row r="310" spans="13:13" x14ac:dyDescent="0.25">
      <c r="M310" s="17"/>
    </row>
    <row r="311" spans="13:13" x14ac:dyDescent="0.25">
      <c r="M311" s="17"/>
    </row>
    <row r="312" spans="13:13" x14ac:dyDescent="0.25">
      <c r="M312" s="17"/>
    </row>
    <row r="313" spans="13:13" x14ac:dyDescent="0.25">
      <c r="M313" s="17"/>
    </row>
    <row r="314" spans="13:13" x14ac:dyDescent="0.25">
      <c r="M314" s="17"/>
    </row>
    <row r="315" spans="13:13" x14ac:dyDescent="0.25">
      <c r="M315" s="17"/>
    </row>
    <row r="316" spans="13:13" x14ac:dyDescent="0.25">
      <c r="M316" s="17"/>
    </row>
    <row r="317" spans="13:13" x14ac:dyDescent="0.25">
      <c r="M317" s="17"/>
    </row>
    <row r="318" spans="13:13" x14ac:dyDescent="0.25">
      <c r="M318" s="17"/>
    </row>
    <row r="319" spans="13:13" x14ac:dyDescent="0.25">
      <c r="M319" s="17"/>
    </row>
    <row r="320" spans="13:13" x14ac:dyDescent="0.25">
      <c r="M320" s="17"/>
    </row>
    <row r="321" spans="13:13" x14ac:dyDescent="0.25">
      <c r="M321" s="17"/>
    </row>
    <row r="322" spans="13:13" x14ac:dyDescent="0.25">
      <c r="M322" s="17"/>
    </row>
    <row r="323" spans="13:13" x14ac:dyDescent="0.25">
      <c r="M323" s="17"/>
    </row>
    <row r="324" spans="13:13" x14ac:dyDescent="0.25">
      <c r="M324" s="17"/>
    </row>
    <row r="325" spans="13:13" x14ac:dyDescent="0.25">
      <c r="M325" s="17"/>
    </row>
    <row r="326" spans="13:13" x14ac:dyDescent="0.25">
      <c r="M326" s="17"/>
    </row>
    <row r="327" spans="13:13" x14ac:dyDescent="0.25">
      <c r="M327" s="17"/>
    </row>
    <row r="328" spans="13:13" x14ac:dyDescent="0.25">
      <c r="M328" s="17"/>
    </row>
    <row r="329" spans="13:13" x14ac:dyDescent="0.25">
      <c r="M329" s="17"/>
    </row>
    <row r="330" spans="13:13" x14ac:dyDescent="0.25">
      <c r="M330" s="17"/>
    </row>
    <row r="331" spans="13:13" x14ac:dyDescent="0.25">
      <c r="M331" s="17"/>
    </row>
    <row r="332" spans="13:13" x14ac:dyDescent="0.25">
      <c r="M332" s="17"/>
    </row>
    <row r="333" spans="13:13" x14ac:dyDescent="0.25">
      <c r="M333" s="17"/>
    </row>
    <row r="334" spans="13:13" x14ac:dyDescent="0.25">
      <c r="M334" s="17"/>
    </row>
    <row r="335" spans="13:13" x14ac:dyDescent="0.25">
      <c r="M335" s="17"/>
    </row>
    <row r="336" spans="13:13" x14ac:dyDescent="0.25">
      <c r="M336" s="17"/>
    </row>
    <row r="337" spans="13:13" x14ac:dyDescent="0.25">
      <c r="M337" s="17"/>
    </row>
    <row r="338" spans="13:13" x14ac:dyDescent="0.25">
      <c r="M338" s="17"/>
    </row>
    <row r="339" spans="13:13" x14ac:dyDescent="0.25">
      <c r="M339" s="17"/>
    </row>
    <row r="340" spans="13:13" x14ac:dyDescent="0.25">
      <c r="M340" s="17"/>
    </row>
    <row r="341" spans="13:13" x14ac:dyDescent="0.25">
      <c r="M341" s="17"/>
    </row>
    <row r="342" spans="13:13" x14ac:dyDescent="0.25">
      <c r="M342" s="17"/>
    </row>
    <row r="343" spans="13:13" x14ac:dyDescent="0.25">
      <c r="M343" s="17"/>
    </row>
    <row r="344" spans="13:13" x14ac:dyDescent="0.25">
      <c r="M344" s="17"/>
    </row>
    <row r="345" spans="13:13" x14ac:dyDescent="0.25">
      <c r="M345" s="17"/>
    </row>
    <row r="346" spans="13:13" x14ac:dyDescent="0.25">
      <c r="M346" s="17"/>
    </row>
    <row r="347" spans="13:13" x14ac:dyDescent="0.25">
      <c r="M347" s="17"/>
    </row>
    <row r="348" spans="13:13" x14ac:dyDescent="0.25">
      <c r="M348" s="17"/>
    </row>
    <row r="349" spans="13:13" x14ac:dyDescent="0.25">
      <c r="M349" s="17"/>
    </row>
    <row r="350" spans="13:13" x14ac:dyDescent="0.25">
      <c r="M350" s="17"/>
    </row>
    <row r="351" spans="13:13" x14ac:dyDescent="0.25">
      <c r="M351" s="17"/>
    </row>
    <row r="352" spans="13:13" x14ac:dyDescent="0.25">
      <c r="M352" s="17"/>
    </row>
    <row r="353" spans="13:13" x14ac:dyDescent="0.25">
      <c r="M353" s="17"/>
    </row>
    <row r="354" spans="13:13" x14ac:dyDescent="0.25">
      <c r="M354" s="17"/>
    </row>
    <row r="355" spans="13:13" x14ac:dyDescent="0.25">
      <c r="M355" s="17"/>
    </row>
    <row r="356" spans="13:13" x14ac:dyDescent="0.25">
      <c r="M356" s="17"/>
    </row>
    <row r="357" spans="13:13" x14ac:dyDescent="0.25">
      <c r="M357" s="17"/>
    </row>
    <row r="358" spans="13:13" x14ac:dyDescent="0.25">
      <c r="M358" s="17"/>
    </row>
    <row r="359" spans="13:13" x14ac:dyDescent="0.25">
      <c r="M359" s="17"/>
    </row>
    <row r="360" spans="13:13" x14ac:dyDescent="0.25">
      <c r="M360" s="17"/>
    </row>
    <row r="361" spans="13:13" x14ac:dyDescent="0.25">
      <c r="M361" s="17"/>
    </row>
    <row r="362" spans="13:13" x14ac:dyDescent="0.25">
      <c r="M362" s="17"/>
    </row>
    <row r="363" spans="13:13" x14ac:dyDescent="0.25">
      <c r="M363" s="17"/>
    </row>
    <row r="364" spans="13:13" x14ac:dyDescent="0.25">
      <c r="M364" s="17"/>
    </row>
    <row r="365" spans="13:13" x14ac:dyDescent="0.25">
      <c r="M365" s="17"/>
    </row>
    <row r="366" spans="13:13" x14ac:dyDescent="0.25">
      <c r="M366" s="17"/>
    </row>
    <row r="367" spans="13:13" x14ac:dyDescent="0.25">
      <c r="M367" s="17"/>
    </row>
    <row r="368" spans="13:13" x14ac:dyDescent="0.25">
      <c r="M368" s="17"/>
    </row>
    <row r="369" spans="13:13" x14ac:dyDescent="0.25">
      <c r="M369" s="17"/>
    </row>
    <row r="370" spans="13:13" x14ac:dyDescent="0.25">
      <c r="M370" s="17"/>
    </row>
    <row r="371" spans="13:13" x14ac:dyDescent="0.25">
      <c r="M371" s="17"/>
    </row>
    <row r="372" spans="13:13" x14ac:dyDescent="0.25">
      <c r="M372" s="17"/>
    </row>
    <row r="373" spans="13:13" x14ac:dyDescent="0.25">
      <c r="M373" s="17"/>
    </row>
    <row r="374" spans="13:13" x14ac:dyDescent="0.25">
      <c r="M374" s="17"/>
    </row>
    <row r="375" spans="13:13" x14ac:dyDescent="0.25">
      <c r="M375" s="17"/>
    </row>
    <row r="376" spans="13:13" x14ac:dyDescent="0.25">
      <c r="M376" s="17"/>
    </row>
    <row r="377" spans="13:13" x14ac:dyDescent="0.25">
      <c r="M377" s="17"/>
    </row>
    <row r="378" spans="13:13" x14ac:dyDescent="0.25">
      <c r="M378" s="17"/>
    </row>
    <row r="379" spans="13:13" x14ac:dyDescent="0.25">
      <c r="M379" s="17"/>
    </row>
    <row r="380" spans="13:13" x14ac:dyDescent="0.25">
      <c r="M380" s="17"/>
    </row>
    <row r="381" spans="13:13" x14ac:dyDescent="0.25">
      <c r="M381" s="17"/>
    </row>
    <row r="382" spans="13:13" x14ac:dyDescent="0.25">
      <c r="M382" s="17"/>
    </row>
    <row r="383" spans="13:13" x14ac:dyDescent="0.25">
      <c r="M383" s="17"/>
    </row>
    <row r="384" spans="13:13" x14ac:dyDescent="0.25">
      <c r="M384" s="17"/>
    </row>
    <row r="385" spans="13:13" x14ac:dyDescent="0.25">
      <c r="M385" s="17"/>
    </row>
    <row r="386" spans="13:13" x14ac:dyDescent="0.25">
      <c r="M386" s="17"/>
    </row>
    <row r="387" spans="13:13" x14ac:dyDescent="0.25">
      <c r="M387" s="17"/>
    </row>
    <row r="388" spans="13:13" x14ac:dyDescent="0.25">
      <c r="M388" s="17"/>
    </row>
    <row r="389" spans="13:13" x14ac:dyDescent="0.25">
      <c r="M389" s="17"/>
    </row>
    <row r="390" spans="13:13" x14ac:dyDescent="0.25">
      <c r="M390" s="17"/>
    </row>
    <row r="391" spans="13:13" x14ac:dyDescent="0.25">
      <c r="M391" s="17"/>
    </row>
    <row r="392" spans="13:13" x14ac:dyDescent="0.25">
      <c r="M392" s="17"/>
    </row>
    <row r="393" spans="13:13" x14ac:dyDescent="0.25">
      <c r="M393" s="17"/>
    </row>
    <row r="394" spans="13:13" x14ac:dyDescent="0.25">
      <c r="M394" s="17"/>
    </row>
    <row r="395" spans="13:13" x14ac:dyDescent="0.25">
      <c r="M395" s="17"/>
    </row>
    <row r="396" spans="13:13" x14ac:dyDescent="0.25">
      <c r="M396" s="17"/>
    </row>
    <row r="397" spans="13:13" x14ac:dyDescent="0.25">
      <c r="M397" s="17"/>
    </row>
    <row r="398" spans="13:13" x14ac:dyDescent="0.25">
      <c r="M398" s="17"/>
    </row>
    <row r="399" spans="13:13" x14ac:dyDescent="0.25">
      <c r="M399" s="17"/>
    </row>
    <row r="400" spans="13:13" x14ac:dyDescent="0.25">
      <c r="M400" s="17"/>
    </row>
    <row r="401" spans="13:13" x14ac:dyDescent="0.25">
      <c r="M401" s="17"/>
    </row>
    <row r="402" spans="13:13" x14ac:dyDescent="0.25">
      <c r="M402" s="17"/>
    </row>
    <row r="403" spans="13:13" x14ac:dyDescent="0.25">
      <c r="M403" s="17"/>
    </row>
  </sheetData>
  <scenarios current="5" show="5" sqref="C8">
    <scenario name="RR1" locked="1" count="1" user="mjs23" comment="Created by mjs23 on 07/10/01">
      <inputCells r="C67" val="0"/>
    </scenario>
    <scenario name="RR2" locked="1" count="1" user="mjs23" comment="Created by mjs23 on 07/10/01">
      <inputCells r="C67" val="0.2"/>
    </scenario>
    <scenario name="rr3" locked="1" count="1" user="mjs23" comment="Created by mjs23 on 07/10/01">
      <inputCells r="C67" val="0.4"/>
    </scenario>
    <scenario name="rr4" locked="1" count="1" user="mjs23" comment="Created by mjs23 on 07/10/01">
      <inputCells r="C67" val="0.6"/>
    </scenario>
    <scenario name="rr5" locked="1" count="1" user="mjs23" comment="Created by mjs23 on 07/10/01">
      <inputCells r="C67" val="0.8"/>
    </scenario>
    <scenario name="rr6" locked="1" count="1" user="mjs23" comment="Created by mjs23 on 07/10/01">
      <inputCells r="C67" val="1"/>
    </scenario>
  </scenarios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J11"/>
  <sheetViews>
    <sheetView showGridLines="0" workbookViewId="0">
      <selection activeCell="I30" sqref="I30"/>
    </sheetView>
  </sheetViews>
  <sheetFormatPr baseColWidth="10" defaultColWidth="9.109375" defaultRowHeight="13.2" outlineLevelRow="1" outlineLevelCol="1" x14ac:dyDescent="0.25"/>
  <cols>
    <col min="1" max="2" width="9.109375" customWidth="1"/>
    <col min="3" max="3" width="5.33203125" customWidth="1"/>
    <col min="4" max="10" width="13.109375" bestFit="1" customWidth="1" outlineLevel="1"/>
  </cols>
  <sheetData>
    <row r="1" spans="2:10" ht="13.8" thickBot="1" x14ac:dyDescent="0.3"/>
    <row r="2" spans="2:10" ht="13.8" x14ac:dyDescent="0.25">
      <c r="B2" s="58" t="s">
        <v>113</v>
      </c>
      <c r="C2" s="58"/>
      <c r="D2" s="63"/>
      <c r="E2" s="63"/>
      <c r="F2" s="63"/>
      <c r="G2" s="63"/>
      <c r="H2" s="63"/>
      <c r="I2" s="63"/>
      <c r="J2" s="63"/>
    </row>
    <row r="3" spans="2:10" ht="13.8" collapsed="1" x14ac:dyDescent="0.25">
      <c r="B3" s="57"/>
      <c r="C3" s="57"/>
      <c r="D3" s="64" t="s">
        <v>115</v>
      </c>
      <c r="E3" s="64" t="s">
        <v>106</v>
      </c>
      <c r="F3" s="64" t="s">
        <v>108</v>
      </c>
      <c r="G3" s="64" t="s">
        <v>109</v>
      </c>
      <c r="H3" s="64" t="s">
        <v>110</v>
      </c>
      <c r="I3" s="64" t="s">
        <v>111</v>
      </c>
      <c r="J3" s="64" t="s">
        <v>112</v>
      </c>
    </row>
    <row r="4" spans="2:10" ht="20.399999999999999" hidden="1" outlineLevel="1" x14ac:dyDescent="0.25">
      <c r="B4" s="60"/>
      <c r="C4" s="60"/>
      <c r="D4" s="55"/>
      <c r="E4" s="66" t="s">
        <v>107</v>
      </c>
      <c r="F4" s="66" t="s">
        <v>107</v>
      </c>
      <c r="G4" s="66" t="s">
        <v>107</v>
      </c>
      <c r="H4" s="66" t="s">
        <v>107</v>
      </c>
      <c r="I4" s="66" t="s">
        <v>107</v>
      </c>
      <c r="J4" s="66" t="s">
        <v>107</v>
      </c>
    </row>
    <row r="5" spans="2:10" x14ac:dyDescent="0.25">
      <c r="B5" s="61" t="s">
        <v>114</v>
      </c>
      <c r="C5" s="61"/>
      <c r="D5" s="59"/>
      <c r="E5" s="59"/>
      <c r="F5" s="59"/>
      <c r="G5" s="59"/>
      <c r="H5" s="59"/>
      <c r="I5" s="59"/>
      <c r="J5" s="59"/>
    </row>
    <row r="6" spans="2:10" outlineLevel="1" x14ac:dyDescent="0.25">
      <c r="B6" s="60"/>
      <c r="C6" s="60" t="s">
        <v>67</v>
      </c>
      <c r="D6" s="55">
        <v>1</v>
      </c>
      <c r="E6" s="65">
        <v>0</v>
      </c>
      <c r="F6" s="65">
        <v>0.2</v>
      </c>
      <c r="G6" s="65">
        <v>0.4</v>
      </c>
      <c r="H6" s="65">
        <v>0.6</v>
      </c>
      <c r="I6" s="65">
        <v>0.8</v>
      </c>
      <c r="J6" s="65">
        <v>1</v>
      </c>
    </row>
    <row r="7" spans="2:10" x14ac:dyDescent="0.25">
      <c r="B7" s="61" t="s">
        <v>116</v>
      </c>
      <c r="C7" s="61"/>
      <c r="D7" s="59"/>
      <c r="E7" s="59"/>
      <c r="F7" s="59"/>
      <c r="G7" s="59"/>
      <c r="H7" s="59"/>
      <c r="I7" s="59"/>
      <c r="J7" s="59"/>
    </row>
    <row r="8" spans="2:10" ht="13.8" outlineLevel="1" thickBot="1" x14ac:dyDescent="0.3">
      <c r="B8" s="62"/>
      <c r="C8" s="62" t="s">
        <v>105</v>
      </c>
      <c r="D8" s="56" t="e">
        <v>#DIV/0!</v>
      </c>
      <c r="E8" s="56">
        <v>4969.32009968895</v>
      </c>
      <c r="F8" s="56">
        <v>5618.8706557983196</v>
      </c>
      <c r="G8" s="56">
        <v>6655.4904978483401</v>
      </c>
      <c r="H8" s="56">
        <v>8660.1157760915903</v>
      </c>
      <c r="I8" s="56">
        <v>14537.4229797876</v>
      </c>
      <c r="J8" s="56" t="e">
        <v>#DIV/0!</v>
      </c>
    </row>
    <row r="9" spans="2:10" x14ac:dyDescent="0.25">
      <c r="B9" t="s">
        <v>117</v>
      </c>
    </row>
    <row r="10" spans="2:10" x14ac:dyDescent="0.25">
      <c r="B10" t="s">
        <v>118</v>
      </c>
    </row>
    <row r="11" spans="2:10" x14ac:dyDescent="0.25">
      <c r="B11" t="s">
        <v>119</v>
      </c>
    </row>
  </sheetData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53</vt:i4>
      </vt:variant>
    </vt:vector>
  </HeadingPairs>
  <TitlesOfParts>
    <vt:vector size="57" baseType="lpstr">
      <vt:lpstr>Figure</vt:lpstr>
      <vt:lpstr>Model</vt:lpstr>
      <vt:lpstr>Scenario Summary</vt:lpstr>
      <vt:lpstr>SA</vt:lpstr>
      <vt:lpstr>BTP_A_AND</vt:lpstr>
      <vt:lpstr>BTP_A_BNAND</vt:lpstr>
      <vt:lpstr>BTP_A_CNAND</vt:lpstr>
      <vt:lpstr>BTP_A_D</vt:lpstr>
      <vt:lpstr>BTP_A_NAND</vt:lpstr>
      <vt:lpstr>BTP_A_ND</vt:lpstr>
      <vt:lpstr>BTP_B_A</vt:lpstr>
      <vt:lpstr>BTP_B_BND</vt:lpstr>
      <vt:lpstr>BTP_B_CNBND</vt:lpstr>
      <vt:lpstr>BTP_B_CND</vt:lpstr>
      <vt:lpstr>BTP_B_D</vt:lpstr>
      <vt:lpstr>BTP_B_ND</vt:lpstr>
      <vt:lpstr>btp_c_a</vt:lpstr>
      <vt:lpstr>btp_c_b</vt:lpstr>
      <vt:lpstr>btp_c_c</vt:lpstr>
      <vt:lpstr>btp_c_d</vt:lpstr>
      <vt:lpstr>btp_d_d</vt:lpstr>
      <vt:lpstr>ccca</vt:lpstr>
      <vt:lpstr>cccb</vt:lpstr>
      <vt:lpstr>cccc</vt:lpstr>
      <vt:lpstr>Cost_A_D</vt:lpstr>
      <vt:lpstr>Cost_A_S</vt:lpstr>
      <vt:lpstr>Cost_B_D</vt:lpstr>
      <vt:lpstr>Cost_B_S</vt:lpstr>
      <vt:lpstr>Cost_C_D</vt:lpstr>
      <vt:lpstr>Cost_C_S</vt:lpstr>
      <vt:lpstr>dcd</vt:lpstr>
      <vt:lpstr>dcm</vt:lpstr>
      <vt:lpstr>dmca</vt:lpstr>
      <vt:lpstr>dmcb</vt:lpstr>
      <vt:lpstr>dmcc</vt:lpstr>
      <vt:lpstr>DR_B</vt:lpstr>
      <vt:lpstr>DR_C</vt:lpstr>
      <vt:lpstr>Duration</vt:lpstr>
      <vt:lpstr>exccomb</vt:lpstr>
      <vt:lpstr>excmono</vt:lpstr>
      <vt:lpstr>exlycomb</vt:lpstr>
      <vt:lpstr>exlymono</vt:lpstr>
      <vt:lpstr>lcc</vt:lpstr>
      <vt:lpstr>RR</vt:lpstr>
      <vt:lpstr>TP_A_A</vt:lpstr>
      <vt:lpstr>TP_A_B</vt:lpstr>
      <vt:lpstr>TP_A_C</vt:lpstr>
      <vt:lpstr>TP_A_D</vt:lpstr>
      <vt:lpstr>TP_B_A</vt:lpstr>
      <vt:lpstr>TP_B_B</vt:lpstr>
      <vt:lpstr>TP_B_C</vt:lpstr>
      <vt:lpstr>TP_B_D</vt:lpstr>
      <vt:lpstr>TP_C_A</vt:lpstr>
      <vt:lpstr>TP_C_B</vt:lpstr>
      <vt:lpstr>TP_C_C</vt:lpstr>
      <vt:lpstr>TP_C_D</vt:lpstr>
      <vt:lpstr>TP_D_D</vt:lpstr>
    </vt:vector>
  </TitlesOfParts>
  <Company>Centre for Health Economics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Fenwick</dc:creator>
  <cp:lastModifiedBy>Javier</cp:lastModifiedBy>
  <dcterms:created xsi:type="dcterms:W3CDTF">1999-05-23T18:20:37Z</dcterms:created>
  <dcterms:modified xsi:type="dcterms:W3CDTF">2016-03-04T13:29:31Z</dcterms:modified>
</cp:coreProperties>
</file>